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MIKKI JAISWAL\Music\"/>
    </mc:Choice>
  </mc:AlternateContent>
  <xr:revisionPtr revIDLastSave="0" documentId="13_ncr:1_{7111D09A-EA1D-47DF-B2FE-071100109B94}" xr6:coauthVersionLast="47" xr6:coauthVersionMax="47" xr10:uidLastSave="{00000000-0000-0000-0000-000000000000}"/>
  <bookViews>
    <workbookView xWindow="-98" yWindow="-98" windowWidth="21795" windowHeight="12975" activeTab="3" xr2:uid="{00000000-000D-0000-FFFF-FFFF00000000}"/>
  </bookViews>
  <sheets>
    <sheet name="Sheet8" sheetId="8" r:id="rId1"/>
    <sheet name="Sheet9" sheetId="9" r:id="rId2"/>
    <sheet name="Sheet1" sheetId="1" r:id="rId3"/>
    <sheet name="Sheet10" sheetId="10" r:id="rId4"/>
    <sheet name="Sheet3" sheetId="3" r:id="rId5"/>
    <sheet name="Sheet4" sheetId="4" r:id="rId6"/>
    <sheet name="Sheet6" sheetId="6" r:id="rId7"/>
    <sheet name="Sheet7" sheetId="7" r:id="rId8"/>
  </sheets>
  <definedNames>
    <definedName name="Slicer_Admission_Year">#N/A</definedName>
    <definedName name="Slicer_Course">#N/A</definedName>
    <definedName name="Slicer_Enrollment_Status">#N/A</definedName>
    <definedName name="Slicer_Gender">#N/A</definedName>
    <definedName name="Slicer_St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3" l="1"/>
  <c r="C2" i="3"/>
  <c r="C3" i="3"/>
  <c r="C4" i="3"/>
  <c r="C5" i="3"/>
  <c r="C6" i="3"/>
  <c r="C7" i="3"/>
  <c r="C8" i="3"/>
  <c r="C9" i="3"/>
</calcChain>
</file>

<file path=xl/sharedStrings.xml><?xml version="1.0" encoding="utf-8"?>
<sst xmlns="http://schemas.openxmlformats.org/spreadsheetml/2006/main" count="561" uniqueCount="126">
  <si>
    <t>Student_ID</t>
  </si>
  <si>
    <t>Student_Name</t>
  </si>
  <si>
    <t>Gender</t>
  </si>
  <si>
    <t>Age</t>
  </si>
  <si>
    <t>Course</t>
  </si>
  <si>
    <t>Department</t>
  </si>
  <si>
    <t>City</t>
  </si>
  <si>
    <t>State</t>
  </si>
  <si>
    <t>Country</t>
  </si>
  <si>
    <t>Latitude</t>
  </si>
  <si>
    <t>Longitude</t>
  </si>
  <si>
    <t>Admission_Year</t>
  </si>
  <si>
    <t>Admission_Date</t>
  </si>
  <si>
    <t>Enrollment_Status</t>
  </si>
  <si>
    <t>Annual_Fees</t>
  </si>
  <si>
    <t>Attendance_Percentage</t>
  </si>
  <si>
    <t>Scholarship</t>
  </si>
  <si>
    <t>Scholarship_Amount</t>
  </si>
  <si>
    <t>Placement_Status</t>
  </si>
  <si>
    <t>Placement_Salary</t>
  </si>
  <si>
    <t>Student_Rating</t>
  </si>
  <si>
    <t>Isha Sharma</t>
  </si>
  <si>
    <t>Yash Patel</t>
  </si>
  <si>
    <t>Tanya Gupta</t>
  </si>
  <si>
    <t>Nisha Mishra</t>
  </si>
  <si>
    <t>Vivek Mishra</t>
  </si>
  <si>
    <t>Aman Rana</t>
  </si>
  <si>
    <t>Komal Joshi</t>
  </si>
  <si>
    <t>Rahul Vyas</t>
  </si>
  <si>
    <t>Sakshi Negi</t>
  </si>
  <si>
    <t>Harsh Vyas</t>
  </si>
  <si>
    <t>Isha Mishra</t>
  </si>
  <si>
    <t>Vivek Negi</t>
  </si>
  <si>
    <t>Kavya Kapoor</t>
  </si>
  <si>
    <t>Aditya Vyas</t>
  </si>
  <si>
    <t>Yash Gupta</t>
  </si>
  <si>
    <t>Kunal Kapoor</t>
  </si>
  <si>
    <t>Kunal Singh</t>
  </si>
  <si>
    <t>Komal Chauhan</t>
  </si>
  <si>
    <t>Sakshi Rawat</t>
  </si>
  <si>
    <t>Tanvi Saini</t>
  </si>
  <si>
    <t>Aditya Sharma</t>
  </si>
  <si>
    <t>Rajat Patel</t>
  </si>
  <si>
    <t>Neha Negi</t>
  </si>
  <si>
    <t>Aditi Negi</t>
  </si>
  <si>
    <t>Rajat Singh</t>
  </si>
  <si>
    <t>Deepak Tiwari</t>
  </si>
  <si>
    <t>Varun Rana</t>
  </si>
  <si>
    <t>Aman Kapoor</t>
  </si>
  <si>
    <t>Rajat Kumar</t>
  </si>
  <si>
    <t>Isha Thakur</t>
  </si>
  <si>
    <t>Tanya Agarwal</t>
  </si>
  <si>
    <t>Sahil Rana</t>
  </si>
  <si>
    <t>Nitin Bisht</t>
  </si>
  <si>
    <t>Tanya Verma</t>
  </si>
  <si>
    <t>Sahil Jain</t>
  </si>
  <si>
    <t>Isha Bisht</t>
  </si>
  <si>
    <t>Vivek Shukla</t>
  </si>
  <si>
    <t>Rajat Verma</t>
  </si>
  <si>
    <t>Varun Thakur</t>
  </si>
  <si>
    <t>Abhishek Kapoor</t>
  </si>
  <si>
    <t>Rahul Agarwal</t>
  </si>
  <si>
    <t>Nitin Kumar</t>
  </si>
  <si>
    <t>Ananya Kapoor</t>
  </si>
  <si>
    <t>Vivek Agarwal</t>
  </si>
  <si>
    <t>Aditya Saini</t>
  </si>
  <si>
    <t>Tanya Sharma</t>
  </si>
  <si>
    <t>Simran Agarwal</t>
  </si>
  <si>
    <t>Komal Saini</t>
  </si>
  <si>
    <t>Simran Kaur</t>
  </si>
  <si>
    <t>Ananya Verma</t>
  </si>
  <si>
    <t>Female</t>
  </si>
  <si>
    <t>Male</t>
  </si>
  <si>
    <t>BBA</t>
  </si>
  <si>
    <t>BCom</t>
  </si>
  <si>
    <t>BCA</t>
  </si>
  <si>
    <t>MCA</t>
  </si>
  <si>
    <t>BA</t>
  </si>
  <si>
    <t>BSc IT</t>
  </si>
  <si>
    <t>Management</t>
  </si>
  <si>
    <t>Commerce</t>
  </si>
  <si>
    <t>Computer Applications</t>
  </si>
  <si>
    <t>Arts</t>
  </si>
  <si>
    <t>Information Technology</t>
  </si>
  <si>
    <t>Rishikesh</t>
  </si>
  <si>
    <t>Kolkata</t>
  </si>
  <si>
    <t>Lucknow</t>
  </si>
  <si>
    <t>Haridwar</t>
  </si>
  <si>
    <t>Chandigarh</t>
  </si>
  <si>
    <t>Delhi</t>
  </si>
  <si>
    <t>Patna</t>
  </si>
  <si>
    <t>Dehradun</t>
  </si>
  <si>
    <t>Pune</t>
  </si>
  <si>
    <t>Mumbai</t>
  </si>
  <si>
    <t>Bengaluru</t>
  </si>
  <si>
    <t>Jaipur</t>
  </si>
  <si>
    <t>Uttarakhand</t>
  </si>
  <si>
    <t>West Bengal</t>
  </si>
  <si>
    <t>Uttar Pradesh</t>
  </si>
  <si>
    <t>Bihar</t>
  </si>
  <si>
    <t>Maharashtra</t>
  </si>
  <si>
    <t>Karnataka</t>
  </si>
  <si>
    <t>Rajasthan</t>
  </si>
  <si>
    <t>India</t>
  </si>
  <si>
    <t>Active</t>
  </si>
  <si>
    <t>Completed</t>
  </si>
  <si>
    <t>Dropped</t>
  </si>
  <si>
    <t>Yes</t>
  </si>
  <si>
    <t>No</t>
  </si>
  <si>
    <t>Placed</t>
  </si>
  <si>
    <t>Not Placed</t>
  </si>
  <si>
    <t>Not Eligible</t>
  </si>
  <si>
    <t>Higher Studies</t>
  </si>
  <si>
    <t>KPI</t>
  </si>
  <si>
    <t>Excel formula</t>
  </si>
  <si>
    <t>Total Students</t>
  </si>
  <si>
    <t>Active Students</t>
  </si>
  <si>
    <t>Average Attendance</t>
  </si>
  <si>
    <t>Placed Students</t>
  </si>
  <si>
    <t>Total Annual Fees</t>
  </si>
  <si>
    <t>Scholarship Amount</t>
  </si>
  <si>
    <t>Average Student Rating</t>
  </si>
  <si>
    <t>Dropped Students</t>
  </si>
  <si>
    <t>Row Labels</t>
  </si>
  <si>
    <t>Grand Total</t>
  </si>
  <si>
    <t>Count of Student_ID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</si>
</sst>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font>
      <sz val="11"/>
      <color theme="1"/>
      <name val="Calibri"/>
      <family val="2"/>
      <scheme val="minor"/>
    </font>
    <font>
      <b/>
      <sz val="11"/>
      <color theme="1"/>
      <name val="Calibri"/>
      <family val="2"/>
      <scheme val="minor"/>
    </font>
    <font>
      <sz val="11"/>
      <color theme="1"/>
      <name val="Calibri"/>
      <family val="2"/>
      <scheme val="minor"/>
    </font>
    <font>
      <sz val="10"/>
      <color theme="1"/>
      <name val="Arial Unicode MS"/>
    </font>
  </fonts>
  <fills count="2">
    <fill>
      <patternFill patternType="none"/>
    </fill>
    <fill>
      <patternFill patternType="gray125"/>
    </fill>
  </fills>
  <borders count="11">
    <border>
      <left/>
      <right/>
      <top/>
      <bottom/>
      <diagonal/>
    </border>
    <border>
      <left style="thin">
        <color auto="1"/>
      </left>
      <right style="thin">
        <color auto="1"/>
      </right>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164" fontId="0" fillId="0" borderId="0" xfId="0" applyNumberFormat="1"/>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9" fontId="3" fillId="0" borderId="0" xfId="1" applyFont="1"/>
    <xf numFmtId="0" fontId="0" fillId="0" borderId="0" xfId="0" pivotButton="1"/>
    <xf numFmtId="0" fontId="0" fillId="0" borderId="0" xfId="0" applyAlignment="1">
      <alignment horizontal="left"/>
    </xf>
  </cellXfs>
  <cellStyles count="2">
    <cellStyle name="Normal" xfId="0" builtinId="0"/>
    <cellStyle name="Percent" xfId="1" builtinId="5"/>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[student_enrollment_lookerstudio_dataset.xlsx]Sheet8!PivotTable19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51-487A-91D1-92F4B5486D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51-487A-91D1-92F4B5486D7E}"/>
              </c:ext>
            </c:extLst>
          </c:dPt>
          <c:cat>
            <c:strRef>
              <c:f>Sheet8!$A$4:$A$6</c:f>
              <c:strCache>
                <c:ptCount val="2"/>
                <c:pt idx="0">
                  <c:v>Female</c:v>
                </c:pt>
                <c:pt idx="1">
                  <c:v>Male</c:v>
                </c:pt>
              </c:strCache>
            </c:strRef>
          </c:cat>
          <c:val>
            <c:numRef>
              <c:f>Sheet8!$B$4:$B$6</c:f>
              <c:numCache>
                <c:formatCode>General</c:formatCode>
                <c:ptCount val="2"/>
                <c:pt idx="0">
                  <c:v>25</c:v>
                </c:pt>
                <c:pt idx="1">
                  <c:v>25</c:v>
                </c:pt>
              </c:numCache>
            </c:numRef>
          </c:val>
          <c:extLst>
            <c:ext xmlns:c16="http://schemas.microsoft.com/office/drawing/2014/chart" uri="{C3380CC4-5D6E-409C-BE32-E72D297353CC}">
              <c16:uniqueId val="{00000000-AD91-45CB-89AC-82945569F0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[student_enrollment_lookerstudio_dataset.xlsx]Sheet9!PivotTable20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Placed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Sheet9!$A$4:$A$8</c:f>
              <c:strCache>
                <c:ptCount val="4"/>
                <c:pt idx="0">
                  <c:v>Higher Studies</c:v>
                </c:pt>
                <c:pt idx="1">
                  <c:v>Not Eligible</c:v>
                </c:pt>
                <c:pt idx="2">
                  <c:v>Not Placed</c:v>
                </c:pt>
                <c:pt idx="3">
                  <c:v>Placed</c:v>
                </c:pt>
              </c:strCache>
            </c:strRef>
          </c:cat>
          <c:val>
            <c:numRef>
              <c:f>Sheet9!$B$4:$B$8</c:f>
              <c:numCache>
                <c:formatCode>General</c:formatCode>
                <c:ptCount val="4"/>
                <c:pt idx="0">
                  <c:v>6</c:v>
                </c:pt>
                <c:pt idx="1">
                  <c:v>2</c:v>
                </c:pt>
                <c:pt idx="2">
                  <c:v>20</c:v>
                </c:pt>
                <c:pt idx="3">
                  <c:v>22</c:v>
                </c:pt>
              </c:numCache>
            </c:numRef>
          </c:val>
          <c:extLst>
            <c:ext xmlns:c16="http://schemas.microsoft.com/office/drawing/2014/chart" uri="{C3380CC4-5D6E-409C-BE32-E72D297353CC}">
              <c16:uniqueId val="{00000000-5805-4B19-B052-68F12CE16FEE}"/>
            </c:ext>
          </c:extLst>
        </c:ser>
        <c:dLbls>
          <c:showLegendKey val="0"/>
          <c:showVal val="0"/>
          <c:showCatName val="0"/>
          <c:showSerName val="0"/>
          <c:showPercent val="0"/>
          <c:showBubbleSize val="0"/>
        </c:dLbls>
        <c:gapWidth val="100"/>
        <c:overlap val="-24"/>
        <c:axId val="586771424"/>
        <c:axId val="572876688"/>
      </c:barChart>
      <c:catAx>
        <c:axId val="586771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76688"/>
        <c:crosses val="autoZero"/>
        <c:auto val="1"/>
        <c:lblAlgn val="ctr"/>
        <c:lblOffset val="100"/>
        <c:noMultiLvlLbl val="0"/>
      </c:catAx>
      <c:valAx>
        <c:axId val="57287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77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[student_enrollment_lookerstudio_dataset.xlsx]Sheet4!PivotTable16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b="1" i="0" u="none" strike="noStrike" baseline="0">
                <a:solidFill>
                  <a:schemeClr val="accent2"/>
                </a:solidFill>
                <a:latin typeface="Amasis MT Pro Black" panose="020B0604020202020204" pitchFamily="18" charset="0"/>
              </a:rPr>
              <a:t>Course-wise Enrollment</a:t>
            </a:r>
            <a:endParaRPr lang="en-US" sz="2000" b="1">
              <a:solidFill>
                <a:schemeClr val="accent2"/>
              </a:solidFill>
              <a:latin typeface="Amasis MT Pro Black" panose="020B06040202020202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Sheet4!$A$4:$A$10</c:f>
              <c:strCache>
                <c:ptCount val="6"/>
                <c:pt idx="0">
                  <c:v>BA</c:v>
                </c:pt>
                <c:pt idx="1">
                  <c:v>BBA</c:v>
                </c:pt>
                <c:pt idx="2">
                  <c:v>BCA</c:v>
                </c:pt>
                <c:pt idx="3">
                  <c:v>BCom</c:v>
                </c:pt>
                <c:pt idx="4">
                  <c:v>BSc IT</c:v>
                </c:pt>
                <c:pt idx="5">
                  <c:v>MCA</c:v>
                </c:pt>
              </c:strCache>
            </c:strRef>
          </c:cat>
          <c:val>
            <c:numRef>
              <c:f>Sheet4!$B$4:$B$10</c:f>
              <c:numCache>
                <c:formatCode>General</c:formatCode>
                <c:ptCount val="6"/>
                <c:pt idx="0">
                  <c:v>7</c:v>
                </c:pt>
                <c:pt idx="1">
                  <c:v>11</c:v>
                </c:pt>
                <c:pt idx="2">
                  <c:v>12</c:v>
                </c:pt>
                <c:pt idx="3">
                  <c:v>7</c:v>
                </c:pt>
                <c:pt idx="4">
                  <c:v>5</c:v>
                </c:pt>
                <c:pt idx="5">
                  <c:v>8</c:v>
                </c:pt>
              </c:numCache>
            </c:numRef>
          </c:val>
          <c:extLst>
            <c:ext xmlns:c16="http://schemas.microsoft.com/office/drawing/2014/chart" uri="{C3380CC4-5D6E-409C-BE32-E72D297353CC}">
              <c16:uniqueId val="{00000000-7239-443C-AC32-2540FC7CB52E}"/>
            </c:ext>
          </c:extLst>
        </c:ser>
        <c:dLbls>
          <c:showLegendKey val="0"/>
          <c:showVal val="0"/>
          <c:showCatName val="0"/>
          <c:showSerName val="0"/>
          <c:showPercent val="0"/>
          <c:showBubbleSize val="0"/>
        </c:dLbls>
        <c:gapWidth val="100"/>
        <c:overlap val="-24"/>
        <c:axId val="478373632"/>
        <c:axId val="478372384"/>
      </c:barChart>
      <c:catAx>
        <c:axId val="478373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72384"/>
        <c:crosses val="autoZero"/>
        <c:auto val="1"/>
        <c:lblAlgn val="ctr"/>
        <c:lblOffset val="100"/>
        <c:noMultiLvlLbl val="0"/>
      </c:catAx>
      <c:valAx>
        <c:axId val="47837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373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[student_enrollment_lookerstudio_dataset.xlsx]Sheet6!PivotTable17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Enrollment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6B-4D76-9780-A8848DBECB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6B-4D76-9780-A8848DBECB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6B-4D76-9780-A8848DBECBD8}"/>
              </c:ext>
            </c:extLst>
          </c:dPt>
          <c:cat>
            <c:strRef>
              <c:f>Sheet6!$A$4:$A$7</c:f>
              <c:strCache>
                <c:ptCount val="3"/>
                <c:pt idx="0">
                  <c:v>Active</c:v>
                </c:pt>
                <c:pt idx="1">
                  <c:v>Completed</c:v>
                </c:pt>
                <c:pt idx="2">
                  <c:v>Dropped</c:v>
                </c:pt>
              </c:strCache>
            </c:strRef>
          </c:cat>
          <c:val>
            <c:numRef>
              <c:f>Sheet6!$B$4:$B$7</c:f>
              <c:numCache>
                <c:formatCode>General</c:formatCode>
                <c:ptCount val="3"/>
                <c:pt idx="0">
                  <c:v>37</c:v>
                </c:pt>
                <c:pt idx="1">
                  <c:v>11</c:v>
                </c:pt>
                <c:pt idx="2">
                  <c:v>2</c:v>
                </c:pt>
              </c:numCache>
            </c:numRef>
          </c:val>
          <c:extLst>
            <c:ext xmlns:c16="http://schemas.microsoft.com/office/drawing/2014/chart" uri="{C3380CC4-5D6E-409C-BE32-E72D297353CC}">
              <c16:uniqueId val="{00000000-0DAA-4FC0-AE37-A5C75A1E9C5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[student_enrollment_lookerstudio_dataset.xlsx]Sheet7!PivotTable18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Year-wise Enrollment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Sheet7!$A$4:$A$9</c:f>
              <c:strCache>
                <c:ptCount val="5"/>
                <c:pt idx="0">
                  <c:v>2022</c:v>
                </c:pt>
                <c:pt idx="1">
                  <c:v>2023</c:v>
                </c:pt>
                <c:pt idx="2">
                  <c:v>2024</c:v>
                </c:pt>
                <c:pt idx="3">
                  <c:v>2025</c:v>
                </c:pt>
                <c:pt idx="4">
                  <c:v>2026</c:v>
                </c:pt>
              </c:strCache>
            </c:strRef>
          </c:cat>
          <c:val>
            <c:numRef>
              <c:f>Sheet7!$B$4:$B$9</c:f>
              <c:numCache>
                <c:formatCode>General</c:formatCode>
                <c:ptCount val="5"/>
                <c:pt idx="0">
                  <c:v>11</c:v>
                </c:pt>
                <c:pt idx="1">
                  <c:v>11</c:v>
                </c:pt>
                <c:pt idx="2">
                  <c:v>10</c:v>
                </c:pt>
                <c:pt idx="3">
                  <c:v>9</c:v>
                </c:pt>
                <c:pt idx="4">
                  <c:v>9</c:v>
                </c:pt>
              </c:numCache>
            </c:numRef>
          </c:val>
          <c:smooth val="0"/>
          <c:extLst>
            <c:ext xmlns:c16="http://schemas.microsoft.com/office/drawing/2014/chart" uri="{C3380CC4-5D6E-409C-BE32-E72D297353CC}">
              <c16:uniqueId val="{00000000-804D-49B5-823E-D3A5786F09F9}"/>
            </c:ext>
          </c:extLst>
        </c:ser>
        <c:dLbls>
          <c:showLegendKey val="0"/>
          <c:showVal val="0"/>
          <c:showCatName val="0"/>
          <c:showSerName val="0"/>
          <c:showPercent val="0"/>
          <c:showBubbleSize val="0"/>
        </c:dLbls>
        <c:smooth val="0"/>
        <c:axId val="572879184"/>
        <c:axId val="572875856"/>
      </c:lineChart>
      <c:catAx>
        <c:axId val="57287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75856"/>
        <c:crosses val="autoZero"/>
        <c:auto val="1"/>
        <c:lblAlgn val="ctr"/>
        <c:lblOffset val="100"/>
        <c:noMultiLvlLbl val="0"/>
      </c:catAx>
      <c:valAx>
        <c:axId val="57287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7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xdr:colOff>
      <xdr:row>7</xdr:row>
      <xdr:rowOff>38100</xdr:rowOff>
    </xdr:from>
    <xdr:to>
      <xdr:col>5</xdr:col>
      <xdr:colOff>614368</xdr:colOff>
      <xdr:row>22</xdr:row>
      <xdr:rowOff>66675</xdr:rowOff>
    </xdr:to>
    <xdr:graphicFrame macro="">
      <xdr:nvGraphicFramePr>
        <xdr:cNvPr id="2" name="Chart 1">
          <a:extLst>
            <a:ext uri="{FF2B5EF4-FFF2-40B4-BE49-F238E27FC236}">
              <a16:creationId xmlns:a16="http://schemas.microsoft.com/office/drawing/2014/main" id="{612BDF60-6F33-4E3D-AAC1-0DFD2A6A89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xdr:colOff>
      <xdr:row>7</xdr:row>
      <xdr:rowOff>38100</xdr:rowOff>
    </xdr:from>
    <xdr:to>
      <xdr:col>5</xdr:col>
      <xdr:colOff>519118</xdr:colOff>
      <xdr:row>22</xdr:row>
      <xdr:rowOff>66675</xdr:rowOff>
    </xdr:to>
    <xdr:graphicFrame macro="">
      <xdr:nvGraphicFramePr>
        <xdr:cNvPr id="2" name="Chart 1">
          <a:extLst>
            <a:ext uri="{FF2B5EF4-FFF2-40B4-BE49-F238E27FC236}">
              <a16:creationId xmlns:a16="http://schemas.microsoft.com/office/drawing/2014/main" id="{EF0CBEE9-DAE3-4744-A3ED-B45D9D486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538162</xdr:colOff>
      <xdr:row>24</xdr:row>
      <xdr:rowOff>28576</xdr:rowOff>
    </xdr:from>
    <xdr:to>
      <xdr:col>5</xdr:col>
      <xdr:colOff>423862</xdr:colOff>
      <xdr:row>29</xdr:row>
      <xdr:rowOff>19051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D5E79DB3-8817-40E6-A78D-3A4779E858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47950" y="4371976"/>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23</xdr:row>
      <xdr:rowOff>100012</xdr:rowOff>
    </xdr:from>
    <xdr:to>
      <xdr:col>1</xdr:col>
      <xdr:colOff>1176337</xdr:colOff>
      <xdr:row>34</xdr:row>
      <xdr:rowOff>138112</xdr:rowOff>
    </xdr:to>
    <mc:AlternateContent xmlns:mc="http://schemas.openxmlformats.org/markup-compatibility/2006" xmlns:a14="http://schemas.microsoft.com/office/drawing/2010/main">
      <mc:Choice Requires="a14">
        <xdr:graphicFrame macro="">
          <xdr:nvGraphicFramePr>
            <xdr:cNvPr id="4" name="Course">
              <a:extLst>
                <a:ext uri="{FF2B5EF4-FFF2-40B4-BE49-F238E27FC236}">
                  <a16:creationId xmlns:a16="http://schemas.microsoft.com/office/drawing/2014/main" id="{C156507B-974E-4F99-9538-6C7563034648}"/>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209550" y="4262437"/>
              <a:ext cx="1828800" cy="202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138112</xdr:colOff>
      <xdr:row>17</xdr:row>
      <xdr:rowOff>166688</xdr:rowOff>
    </xdr:from>
    <xdr:to>
      <xdr:col>9</xdr:col>
      <xdr:colOff>23812</xdr:colOff>
      <xdr:row>31</xdr:row>
      <xdr:rowOff>157163</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9BA8D276-EDB0-43CC-88D6-0E400F9DE48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838700" y="324326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495299</xdr:colOff>
      <xdr:row>0</xdr:row>
      <xdr:rowOff>14287</xdr:rowOff>
    </xdr:from>
    <xdr:to>
      <xdr:col>8</xdr:col>
      <xdr:colOff>380999</xdr:colOff>
      <xdr:row>9</xdr:row>
      <xdr:rowOff>109537</xdr:rowOff>
    </xdr:to>
    <mc:AlternateContent xmlns:mc="http://schemas.openxmlformats.org/markup-compatibility/2006" xmlns:a14="http://schemas.microsoft.com/office/drawing/2010/main">
      <mc:Choice Requires="a14">
        <xdr:graphicFrame macro="">
          <xdr:nvGraphicFramePr>
            <xdr:cNvPr id="6" name="Admission_Year">
              <a:extLst>
                <a:ext uri="{FF2B5EF4-FFF2-40B4-BE49-F238E27FC236}">
                  <a16:creationId xmlns:a16="http://schemas.microsoft.com/office/drawing/2014/main" id="{DEF470D2-0463-42D6-8736-18A8004E1110}"/>
                </a:ext>
              </a:extLst>
            </xdr:cNvPr>
            <xdr:cNvGraphicFramePr/>
          </xdr:nvGraphicFramePr>
          <xdr:xfrm>
            <a:off x="0" y="0"/>
            <a:ext cx="0" cy="0"/>
          </xdr:xfrm>
          <a:graphic>
            <a:graphicData uri="http://schemas.microsoft.com/office/drawing/2010/slicer">
              <sle:slicer xmlns:sle="http://schemas.microsoft.com/office/drawing/2010/slicer" name="Admission_Year"/>
            </a:graphicData>
          </a:graphic>
        </xdr:graphicFrame>
      </mc:Choice>
      <mc:Fallback xmlns="">
        <xdr:sp macro="" textlink="">
          <xdr:nvSpPr>
            <xdr:cNvPr id="0" name=""/>
            <xdr:cNvSpPr>
              <a:spLocks noTextEdit="1"/>
            </xdr:cNvSpPr>
          </xdr:nvSpPr>
          <xdr:spPr>
            <a:xfrm>
              <a:off x="4548187" y="14287"/>
              <a:ext cx="18288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11</xdr:row>
      <xdr:rowOff>33338</xdr:rowOff>
    </xdr:from>
    <xdr:to>
      <xdr:col>8</xdr:col>
      <xdr:colOff>542925</xdr:colOff>
      <xdr:row>17</xdr:row>
      <xdr:rowOff>147638</xdr:rowOff>
    </xdr:to>
    <mc:AlternateContent xmlns:mc="http://schemas.openxmlformats.org/markup-compatibility/2006" xmlns:a14="http://schemas.microsoft.com/office/drawing/2010/main">
      <mc:Choice Requires="a14">
        <xdr:graphicFrame macro="">
          <xdr:nvGraphicFramePr>
            <xdr:cNvPr id="7" name="Enrollment_Status">
              <a:extLst>
                <a:ext uri="{FF2B5EF4-FFF2-40B4-BE49-F238E27FC236}">
                  <a16:creationId xmlns:a16="http://schemas.microsoft.com/office/drawing/2014/main" id="{3912CE6D-F817-42B6-AD02-C5FAC4C50882}"/>
                </a:ext>
              </a:extLst>
            </xdr:cNvPr>
            <xdr:cNvGraphicFramePr/>
          </xdr:nvGraphicFramePr>
          <xdr:xfrm>
            <a:off x="0" y="0"/>
            <a:ext cx="0" cy="0"/>
          </xdr:xfrm>
          <a:graphic>
            <a:graphicData uri="http://schemas.microsoft.com/office/drawing/2010/slicer">
              <sle:slicer xmlns:sle="http://schemas.microsoft.com/office/drawing/2010/slicer" name="Enrollment_Status"/>
            </a:graphicData>
          </a:graphic>
        </xdr:graphicFrame>
      </mc:Choice>
      <mc:Fallback xmlns="">
        <xdr:sp macro="" textlink="">
          <xdr:nvSpPr>
            <xdr:cNvPr id="0" name=""/>
            <xdr:cNvSpPr>
              <a:spLocks noTextEdit="1"/>
            </xdr:cNvSpPr>
          </xdr:nvSpPr>
          <xdr:spPr>
            <a:xfrm>
              <a:off x="4710113" y="2024063"/>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28580</xdr:colOff>
      <xdr:row>1</xdr:row>
      <xdr:rowOff>138113</xdr:rowOff>
    </xdr:from>
    <xdr:to>
      <xdr:col>9</xdr:col>
      <xdr:colOff>66680</xdr:colOff>
      <xdr:row>16</xdr:row>
      <xdr:rowOff>166688</xdr:rowOff>
    </xdr:to>
    <xdr:graphicFrame macro="">
      <xdr:nvGraphicFramePr>
        <xdr:cNvPr id="2" name="Chart 1">
          <a:extLst>
            <a:ext uri="{FF2B5EF4-FFF2-40B4-BE49-F238E27FC236}">
              <a16:creationId xmlns:a16="http://schemas.microsoft.com/office/drawing/2014/main" id="{7D142232-0578-4B76-9B63-758B3C8D2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71443</xdr:colOff>
      <xdr:row>0</xdr:row>
      <xdr:rowOff>66675</xdr:rowOff>
    </xdr:from>
    <xdr:to>
      <xdr:col>9</xdr:col>
      <xdr:colOff>109543</xdr:colOff>
      <xdr:row>15</xdr:row>
      <xdr:rowOff>95250</xdr:rowOff>
    </xdr:to>
    <xdr:graphicFrame macro="">
      <xdr:nvGraphicFramePr>
        <xdr:cNvPr id="2" name="Chart 1">
          <a:extLst>
            <a:ext uri="{FF2B5EF4-FFF2-40B4-BE49-F238E27FC236}">
              <a16:creationId xmlns:a16="http://schemas.microsoft.com/office/drawing/2014/main" id="{B829C1A8-31DE-4C63-918D-1DE02F2CD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xdr:colOff>
      <xdr:row>7</xdr:row>
      <xdr:rowOff>38100</xdr:rowOff>
    </xdr:from>
    <xdr:to>
      <xdr:col>5</xdr:col>
      <xdr:colOff>614368</xdr:colOff>
      <xdr:row>22</xdr:row>
      <xdr:rowOff>66675</xdr:rowOff>
    </xdr:to>
    <xdr:graphicFrame macro="">
      <xdr:nvGraphicFramePr>
        <xdr:cNvPr id="2" name="Chart 1">
          <a:extLst>
            <a:ext uri="{FF2B5EF4-FFF2-40B4-BE49-F238E27FC236}">
              <a16:creationId xmlns:a16="http://schemas.microsoft.com/office/drawing/2014/main" id="{F6DC03A8-3ACA-4BE1-84AD-00183950E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KI JAISWAL" refreshedDate="46306.645849537039" createdVersion="7" refreshedVersion="7" minRefreshableVersion="3" recordCount="50" xr:uid="{7E71E29D-A4D4-4931-A0B1-1640CC82794E}">
  <cacheSource type="worksheet">
    <worksheetSource name="tblStudents"/>
  </cacheSource>
  <cacheFields count="21">
    <cacheField name="Student_ID" numFmtId="0">
      <sharedItems containsSemiMixedTypes="0" containsString="0" containsNumber="1" containsInteger="1" minValue="1002" maxValue="1051"/>
    </cacheField>
    <cacheField name="Student_Name" numFmtId="0">
      <sharedItems/>
    </cacheField>
    <cacheField name="Gender" numFmtId="0">
      <sharedItems count="2">
        <s v="Female"/>
        <s v="Male"/>
      </sharedItems>
    </cacheField>
    <cacheField name="Age" numFmtId="0">
      <sharedItems containsSemiMixedTypes="0" containsString="0" containsNumber="1" containsInteger="1" minValue="18" maxValue="24"/>
    </cacheField>
    <cacheField name="Course" numFmtId="0">
      <sharedItems count="6">
        <s v="BBA"/>
        <s v="BCom"/>
        <s v="BCA"/>
        <s v="MCA"/>
        <s v="BA"/>
        <s v="BSc IT"/>
      </sharedItems>
    </cacheField>
    <cacheField name="Department" numFmtId="0">
      <sharedItems/>
    </cacheField>
    <cacheField name="City" numFmtId="0">
      <sharedItems/>
    </cacheField>
    <cacheField name="State" numFmtId="0">
      <sharedItems count="9">
        <s v="Uttarakhand"/>
        <s v="West Bengal"/>
        <s v="Uttar Pradesh"/>
        <s v="Chandigarh"/>
        <s v="Delhi"/>
        <s v="Bihar"/>
        <s v="Maharashtra"/>
        <s v="Karnataka"/>
        <s v="Rajasthan"/>
      </sharedItems>
    </cacheField>
    <cacheField name="Country" numFmtId="0">
      <sharedItems/>
    </cacheField>
    <cacheField name="Latitude" numFmtId="0">
      <sharedItems containsSemiMixedTypes="0" containsString="0" containsNumber="1" minValue="12.9716" maxValue="30.7333"/>
    </cacheField>
    <cacheField name="Longitude" numFmtId="0">
      <sharedItems containsSemiMixedTypes="0" containsString="0" containsNumber="1" minValue="72.877700000000004" maxValue="88.363900000000001"/>
    </cacheField>
    <cacheField name="Admission_Year" numFmtId="0">
      <sharedItems containsSemiMixedTypes="0" containsString="0" containsNumber="1" containsInteger="1" minValue="2022" maxValue="2026" count="5">
        <n v="2022"/>
        <n v="2024"/>
        <n v="2023"/>
        <n v="2026"/>
        <n v="2025"/>
      </sharedItems>
    </cacheField>
    <cacheField name="Admission_Date" numFmtId="164">
      <sharedItems containsSemiMixedTypes="0" containsNonDate="0" containsDate="1" containsString="0" minDate="2022-02-04T00:00:00" maxDate="2026-10-15T00:00:00"/>
    </cacheField>
    <cacheField name="Enrollment_Status" numFmtId="0">
      <sharedItems count="3">
        <s v="Active"/>
        <s v="Completed"/>
        <s v="Dropped"/>
      </sharedItems>
    </cacheField>
    <cacheField name="Annual_Fees" numFmtId="0">
      <sharedItems containsSemiMixedTypes="0" containsString="0" containsNumber="1" containsInteger="1" minValue="45000" maxValue="85000"/>
    </cacheField>
    <cacheField name="Attendance_Percentage" numFmtId="0">
      <sharedItems containsSemiMixedTypes="0" containsString="0" containsNumber="1" minValue="62.3" maxValue="97.8"/>
    </cacheField>
    <cacheField name="Scholarship" numFmtId="0">
      <sharedItems/>
    </cacheField>
    <cacheField name="Scholarship_Amount" numFmtId="0">
      <sharedItems containsSemiMixedTypes="0" containsString="0" containsNumber="1" containsInteger="1" minValue="0" maxValue="20000"/>
    </cacheField>
    <cacheField name="Placement_Status" numFmtId="0">
      <sharedItems count="4">
        <s v="Placed"/>
        <s v="Not Placed"/>
        <s v="Not Eligible"/>
        <s v="Higher Studies"/>
      </sharedItems>
    </cacheField>
    <cacheField name="Placement_Salary" numFmtId="0">
      <sharedItems containsSemiMixedTypes="0" containsString="0" containsNumber="1" containsInteger="1" minValue="0" maxValue="720000"/>
    </cacheField>
    <cacheField name="Student_Rating" numFmtId="0">
      <sharedItems containsSemiMixedTypes="0" containsString="0" containsNumber="1" minValue="3.1" maxValue="5"/>
    </cacheField>
  </cacheFields>
  <extLst>
    <ext xmlns:x14="http://schemas.microsoft.com/office/spreadsheetml/2009/9/main" uri="{725AE2AE-9491-48be-B2B4-4EB974FC3084}">
      <x14:pivotCacheDefinition pivotCacheId="673078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KI JAISWAL" refreshedDate="46306.743360416665" createdVersion="7" refreshedVersion="7" minRefreshableVersion="3" recordCount="8" xr:uid="{39D7F6DD-3919-4D36-8A9C-F8CD184F96A3}">
  <cacheSource type="worksheet">
    <worksheetSource ref="B1:C9" sheet="Sheet3"/>
  </cacheSource>
  <cacheFields count="2">
    <cacheField name="KPI" numFmtId="0">
      <sharedItems count="8">
        <s v="Total Students"/>
        <s v="Active Students"/>
        <s v="Average Attendance"/>
        <s v="Placed Students"/>
        <s v="Total Annual Fees"/>
        <s v="Scholarship Amount"/>
        <s v="Average Student Rating"/>
        <s v="Dropped Students"/>
      </sharedItems>
    </cacheField>
    <cacheField name="Excel formula" numFmtId="0">
      <sharedItems containsSemiMixedTypes="0" containsString="0" containsNumber="1" minValue="0.80453999999999981" maxValue="3125000" count="8">
        <n v="50"/>
        <n v="37"/>
        <n v="0.80453999999999981"/>
        <n v="22"/>
        <n v="3125000"/>
        <n v="305000"/>
        <n v="4.2540000000000013"/>
        <n v="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2"/>
    <s v="Isha Sharma"/>
    <x v="0"/>
    <n v="19"/>
    <x v="0"/>
    <s v="Management"/>
    <s v="Rishikesh"/>
    <x v="0"/>
    <s v="India"/>
    <n v="30.0869"/>
    <n v="78.267600000000002"/>
    <x v="0"/>
    <d v="2022-10-07T00:00:00"/>
    <x v="0"/>
    <n v="45000"/>
    <n v="77.599999999999994"/>
    <s v="Yes"/>
    <n v="10000"/>
    <x v="0"/>
    <n v="480000"/>
    <n v="3.1"/>
  </r>
  <r>
    <n v="1003"/>
    <s v="Yash Patel"/>
    <x v="0"/>
    <n v="19"/>
    <x v="1"/>
    <s v="Commerce"/>
    <s v="Kolkata"/>
    <x v="1"/>
    <s v="India"/>
    <n v="22.572600000000001"/>
    <n v="88.363900000000001"/>
    <x v="1"/>
    <d v="2024-01-04T00:00:00"/>
    <x v="1"/>
    <n v="60000"/>
    <n v="67.900000000000006"/>
    <s v="No"/>
    <n v="0"/>
    <x v="0"/>
    <n v="300000"/>
    <n v="4.9000000000000004"/>
  </r>
  <r>
    <n v="1004"/>
    <s v="Tanya Gupta"/>
    <x v="1"/>
    <n v="21"/>
    <x v="2"/>
    <s v="Computer Applications"/>
    <s v="Lucknow"/>
    <x v="2"/>
    <s v="India"/>
    <n v="26.846699999999998"/>
    <n v="80.946200000000005"/>
    <x v="1"/>
    <d v="2024-05-15T00:00:00"/>
    <x v="1"/>
    <n v="65000"/>
    <n v="89"/>
    <s v="Yes"/>
    <n v="20000"/>
    <x v="0"/>
    <n v="360000"/>
    <n v="4.7"/>
  </r>
  <r>
    <n v="1005"/>
    <s v="Nisha Mishra"/>
    <x v="1"/>
    <n v="23"/>
    <x v="2"/>
    <s v="Computer Applications"/>
    <s v="Haridwar"/>
    <x v="0"/>
    <s v="India"/>
    <n v="29.945699999999999"/>
    <n v="78.164199999999994"/>
    <x v="2"/>
    <d v="2023-05-29T00:00:00"/>
    <x v="2"/>
    <n v="85000"/>
    <n v="93.6"/>
    <s v="Yes"/>
    <n v="20000"/>
    <x v="0"/>
    <n v="600000"/>
    <n v="4.7"/>
  </r>
  <r>
    <n v="1006"/>
    <s v="Vivek Mishra"/>
    <x v="0"/>
    <n v="19"/>
    <x v="3"/>
    <s v="Computer Applications"/>
    <s v="Chandigarh"/>
    <x v="3"/>
    <s v="India"/>
    <n v="30.7333"/>
    <n v="76.779399999999995"/>
    <x v="0"/>
    <d v="2022-03-29T00:00:00"/>
    <x v="0"/>
    <n v="60000"/>
    <n v="71.099999999999994"/>
    <s v="No"/>
    <n v="0"/>
    <x v="0"/>
    <n v="600000"/>
    <n v="4.4000000000000004"/>
  </r>
  <r>
    <n v="1007"/>
    <s v="Aman Rana"/>
    <x v="0"/>
    <n v="24"/>
    <x v="2"/>
    <s v="Computer Applications"/>
    <s v="Delhi"/>
    <x v="4"/>
    <s v="India"/>
    <n v="28.613900000000001"/>
    <n v="77.209000000000003"/>
    <x v="0"/>
    <d v="2022-06-11T00:00:00"/>
    <x v="0"/>
    <n v="65000"/>
    <n v="64.400000000000006"/>
    <s v="No"/>
    <n v="0"/>
    <x v="0"/>
    <n v="420000"/>
    <n v="3.8"/>
  </r>
  <r>
    <n v="1008"/>
    <s v="Komal Joshi"/>
    <x v="0"/>
    <n v="19"/>
    <x v="0"/>
    <s v="Management"/>
    <s v="Patna"/>
    <x v="5"/>
    <s v="India"/>
    <n v="25.594100000000001"/>
    <n v="85.137600000000006"/>
    <x v="3"/>
    <d v="2026-10-03T00:00:00"/>
    <x v="0"/>
    <n v="65000"/>
    <n v="83.6"/>
    <s v="No"/>
    <n v="0"/>
    <x v="1"/>
    <n v="0"/>
    <n v="5"/>
  </r>
  <r>
    <n v="1009"/>
    <s v="Rahul Vyas"/>
    <x v="0"/>
    <n v="18"/>
    <x v="2"/>
    <s v="Computer Applications"/>
    <s v="Dehradun"/>
    <x v="0"/>
    <s v="India"/>
    <n v="30.316500000000001"/>
    <n v="78.032200000000003"/>
    <x v="2"/>
    <d v="2023-03-23T00:00:00"/>
    <x v="1"/>
    <n v="45000"/>
    <n v="77.599999999999994"/>
    <s v="No"/>
    <n v="0"/>
    <x v="1"/>
    <n v="0"/>
    <n v="5"/>
  </r>
  <r>
    <n v="1010"/>
    <s v="Sakshi Negi"/>
    <x v="1"/>
    <n v="23"/>
    <x v="3"/>
    <s v="Computer Applications"/>
    <s v="Dehradun"/>
    <x v="0"/>
    <s v="India"/>
    <n v="30.316500000000001"/>
    <n v="78.032200000000003"/>
    <x v="3"/>
    <d v="2026-05-17T00:00:00"/>
    <x v="1"/>
    <n v="55000"/>
    <n v="74.599999999999994"/>
    <s v="No"/>
    <n v="0"/>
    <x v="0"/>
    <n v="240000"/>
    <n v="4.9000000000000004"/>
  </r>
  <r>
    <n v="1011"/>
    <s v="Harsh Vyas"/>
    <x v="1"/>
    <n v="22"/>
    <x v="2"/>
    <s v="Computer Applications"/>
    <s v="Pune"/>
    <x v="6"/>
    <s v="India"/>
    <n v="18.520399999999999"/>
    <n v="73.856700000000004"/>
    <x v="1"/>
    <d v="2024-09-16T00:00:00"/>
    <x v="0"/>
    <n v="85000"/>
    <n v="67.7"/>
    <s v="Yes"/>
    <n v="5000"/>
    <x v="1"/>
    <n v="0"/>
    <n v="4"/>
  </r>
  <r>
    <n v="1012"/>
    <s v="Isha Mishra"/>
    <x v="0"/>
    <n v="19"/>
    <x v="2"/>
    <s v="Computer Applications"/>
    <s v="Delhi"/>
    <x v="4"/>
    <s v="India"/>
    <n v="28.613900000000001"/>
    <n v="77.209000000000003"/>
    <x v="3"/>
    <d v="2026-02-10T00:00:00"/>
    <x v="0"/>
    <n v="45000"/>
    <n v="80"/>
    <s v="Yes"/>
    <n v="10000"/>
    <x v="1"/>
    <n v="0"/>
    <n v="4.9000000000000004"/>
  </r>
  <r>
    <n v="1013"/>
    <s v="Vivek Negi"/>
    <x v="0"/>
    <n v="19"/>
    <x v="4"/>
    <s v="Arts"/>
    <s v="Patna"/>
    <x v="5"/>
    <s v="India"/>
    <n v="25.594100000000001"/>
    <n v="85.137600000000006"/>
    <x v="2"/>
    <d v="2023-06-09T00:00:00"/>
    <x v="0"/>
    <n v="55000"/>
    <n v="86.9"/>
    <s v="No"/>
    <n v="0"/>
    <x v="2"/>
    <n v="0"/>
    <n v="3.9"/>
  </r>
  <r>
    <n v="1014"/>
    <s v="Kavya Kapoor"/>
    <x v="1"/>
    <n v="20"/>
    <x v="2"/>
    <s v="Computer Applications"/>
    <s v="Kolkata"/>
    <x v="1"/>
    <s v="India"/>
    <n v="22.572600000000001"/>
    <n v="88.363900000000001"/>
    <x v="3"/>
    <d v="2026-04-28T00:00:00"/>
    <x v="0"/>
    <n v="75000"/>
    <n v="62.3"/>
    <s v="Yes"/>
    <n v="10000"/>
    <x v="0"/>
    <n v="240000"/>
    <n v="4.7"/>
  </r>
  <r>
    <n v="1015"/>
    <s v="Aditya Vyas"/>
    <x v="1"/>
    <n v="20"/>
    <x v="3"/>
    <s v="Computer Applications"/>
    <s v="Mumbai"/>
    <x v="6"/>
    <s v="India"/>
    <n v="19.076000000000001"/>
    <n v="72.877700000000004"/>
    <x v="2"/>
    <d v="2023-10-04T00:00:00"/>
    <x v="0"/>
    <n v="65000"/>
    <n v="96.6"/>
    <s v="No"/>
    <n v="0"/>
    <x v="0"/>
    <n v="420000"/>
    <n v="4.5999999999999996"/>
  </r>
  <r>
    <n v="1016"/>
    <s v="Yash Gupta"/>
    <x v="1"/>
    <n v="23"/>
    <x v="1"/>
    <s v="Commerce"/>
    <s v="Lucknow"/>
    <x v="2"/>
    <s v="India"/>
    <n v="26.846699999999998"/>
    <n v="80.946200000000005"/>
    <x v="4"/>
    <d v="2025-07-30T00:00:00"/>
    <x v="0"/>
    <n v="75000"/>
    <n v="89"/>
    <s v="Yes"/>
    <n v="5000"/>
    <x v="1"/>
    <n v="0"/>
    <n v="3.7"/>
  </r>
  <r>
    <n v="1017"/>
    <s v="Kunal Kapoor"/>
    <x v="1"/>
    <n v="19"/>
    <x v="4"/>
    <s v="Arts"/>
    <s v="Mumbai"/>
    <x v="6"/>
    <s v="India"/>
    <n v="19.076000000000001"/>
    <n v="72.877700000000004"/>
    <x v="2"/>
    <d v="2023-08-05T00:00:00"/>
    <x v="0"/>
    <n v="85000"/>
    <n v="79.099999999999994"/>
    <s v="Yes"/>
    <n v="20000"/>
    <x v="3"/>
    <n v="0"/>
    <n v="4.7"/>
  </r>
  <r>
    <n v="1018"/>
    <s v="Kunal Singh"/>
    <x v="1"/>
    <n v="18"/>
    <x v="0"/>
    <s v="Management"/>
    <s v="Rishikesh"/>
    <x v="0"/>
    <s v="India"/>
    <n v="30.0869"/>
    <n v="78.267600000000002"/>
    <x v="4"/>
    <d v="2025-09-06T00:00:00"/>
    <x v="0"/>
    <n v="45000"/>
    <n v="94"/>
    <s v="Yes"/>
    <n v="20000"/>
    <x v="0"/>
    <n v="420000"/>
    <n v="3.5"/>
  </r>
  <r>
    <n v="1019"/>
    <s v="Komal Chauhan"/>
    <x v="0"/>
    <n v="23"/>
    <x v="3"/>
    <s v="Computer Applications"/>
    <s v="Bengaluru"/>
    <x v="7"/>
    <s v="India"/>
    <n v="12.9716"/>
    <n v="77.5946"/>
    <x v="4"/>
    <d v="2025-03-21T00:00:00"/>
    <x v="0"/>
    <n v="45000"/>
    <n v="70.099999999999994"/>
    <s v="Yes"/>
    <n v="15000"/>
    <x v="0"/>
    <n v="480000"/>
    <n v="4"/>
  </r>
  <r>
    <n v="1020"/>
    <s v="Sakshi Rawat"/>
    <x v="1"/>
    <n v="22"/>
    <x v="2"/>
    <s v="Computer Applications"/>
    <s v="Rishikesh"/>
    <x v="0"/>
    <s v="India"/>
    <n v="30.0869"/>
    <n v="78.267600000000002"/>
    <x v="0"/>
    <d v="2022-02-04T00:00:00"/>
    <x v="0"/>
    <n v="45000"/>
    <n v="70.7"/>
    <s v="Yes"/>
    <n v="5000"/>
    <x v="1"/>
    <n v="0"/>
    <n v="3.8"/>
  </r>
  <r>
    <n v="1021"/>
    <s v="Tanvi Saini"/>
    <x v="0"/>
    <n v="20"/>
    <x v="0"/>
    <s v="Management"/>
    <s v="Pune"/>
    <x v="6"/>
    <s v="India"/>
    <n v="18.520399999999999"/>
    <n v="73.856700000000004"/>
    <x v="1"/>
    <d v="2024-05-02T00:00:00"/>
    <x v="0"/>
    <n v="75000"/>
    <n v="66.8"/>
    <s v="No"/>
    <n v="0"/>
    <x v="1"/>
    <n v="0"/>
    <n v="4.9000000000000004"/>
  </r>
  <r>
    <n v="1022"/>
    <s v="Aditya Sharma"/>
    <x v="0"/>
    <n v="22"/>
    <x v="4"/>
    <s v="Arts"/>
    <s v="Dehradun"/>
    <x v="0"/>
    <s v="India"/>
    <n v="30.316500000000001"/>
    <n v="78.032200000000003"/>
    <x v="0"/>
    <d v="2022-10-03T00:00:00"/>
    <x v="0"/>
    <n v="55000"/>
    <n v="71.8"/>
    <s v="Yes"/>
    <n v="10000"/>
    <x v="1"/>
    <n v="0"/>
    <n v="3.3"/>
  </r>
  <r>
    <n v="1023"/>
    <s v="Rajat Patel"/>
    <x v="0"/>
    <n v="22"/>
    <x v="3"/>
    <s v="Computer Applications"/>
    <s v="Bengaluru"/>
    <x v="7"/>
    <s v="India"/>
    <n v="12.9716"/>
    <n v="77.5946"/>
    <x v="0"/>
    <d v="2022-10-11T00:00:00"/>
    <x v="0"/>
    <n v="50000"/>
    <n v="86.5"/>
    <s v="No"/>
    <n v="0"/>
    <x v="0"/>
    <n v="240000"/>
    <n v="4.5"/>
  </r>
  <r>
    <n v="1024"/>
    <s v="Neha Negi"/>
    <x v="0"/>
    <n v="22"/>
    <x v="0"/>
    <s v="Management"/>
    <s v="Patna"/>
    <x v="5"/>
    <s v="India"/>
    <n v="25.594100000000001"/>
    <n v="85.137600000000006"/>
    <x v="1"/>
    <d v="2024-04-14T00:00:00"/>
    <x v="0"/>
    <n v="65000"/>
    <n v="93.6"/>
    <s v="No"/>
    <n v="0"/>
    <x v="0"/>
    <n v="720000"/>
    <n v="3.1"/>
  </r>
  <r>
    <n v="1025"/>
    <s v="Aditi Negi"/>
    <x v="1"/>
    <n v="18"/>
    <x v="5"/>
    <s v="Information Technology"/>
    <s v="Rishikesh"/>
    <x v="0"/>
    <s v="India"/>
    <n v="30.0869"/>
    <n v="78.267600000000002"/>
    <x v="1"/>
    <d v="2024-03-23T00:00:00"/>
    <x v="0"/>
    <n v="60000"/>
    <n v="82.4"/>
    <s v="Yes"/>
    <n v="5000"/>
    <x v="0"/>
    <n v="600000"/>
    <n v="4.8"/>
  </r>
  <r>
    <n v="1026"/>
    <s v="Rajat Singh"/>
    <x v="0"/>
    <n v="22"/>
    <x v="4"/>
    <s v="Arts"/>
    <s v="Rishikesh"/>
    <x v="0"/>
    <s v="India"/>
    <n v="30.0869"/>
    <n v="78.267600000000002"/>
    <x v="4"/>
    <d v="2025-03-07T00:00:00"/>
    <x v="0"/>
    <n v="85000"/>
    <n v="75.5"/>
    <s v="Yes"/>
    <n v="15000"/>
    <x v="0"/>
    <n v="300000"/>
    <n v="4.3"/>
  </r>
  <r>
    <n v="1027"/>
    <s v="Deepak Tiwari"/>
    <x v="0"/>
    <n v="22"/>
    <x v="3"/>
    <s v="Computer Applications"/>
    <s v="Rishikesh"/>
    <x v="0"/>
    <s v="India"/>
    <n v="30.0869"/>
    <n v="78.267600000000002"/>
    <x v="2"/>
    <d v="2023-03-25T00:00:00"/>
    <x v="2"/>
    <n v="60000"/>
    <n v="92"/>
    <s v="Yes"/>
    <n v="10000"/>
    <x v="3"/>
    <n v="0"/>
    <n v="3.7"/>
  </r>
  <r>
    <n v="1028"/>
    <s v="Varun Rana"/>
    <x v="1"/>
    <n v="20"/>
    <x v="0"/>
    <s v="Management"/>
    <s v="Patna"/>
    <x v="5"/>
    <s v="India"/>
    <n v="25.594100000000001"/>
    <n v="85.137600000000006"/>
    <x v="0"/>
    <d v="2022-07-15T00:00:00"/>
    <x v="1"/>
    <n v="50000"/>
    <n v="93.8"/>
    <s v="Yes"/>
    <n v="20000"/>
    <x v="0"/>
    <n v="720000"/>
    <n v="4.5999999999999996"/>
  </r>
  <r>
    <n v="1029"/>
    <s v="Aman Kapoor"/>
    <x v="1"/>
    <n v="23"/>
    <x v="0"/>
    <s v="Management"/>
    <s v="Jaipur"/>
    <x v="8"/>
    <s v="India"/>
    <n v="26.912400000000002"/>
    <n v="75.787300000000002"/>
    <x v="1"/>
    <d v="2024-05-22T00:00:00"/>
    <x v="1"/>
    <n v="55000"/>
    <n v="97.8"/>
    <s v="No"/>
    <n v="0"/>
    <x v="1"/>
    <n v="0"/>
    <n v="3.8"/>
  </r>
  <r>
    <n v="1030"/>
    <s v="Rajat Kumar"/>
    <x v="1"/>
    <n v="18"/>
    <x v="5"/>
    <s v="Information Technology"/>
    <s v="Rishikesh"/>
    <x v="0"/>
    <s v="India"/>
    <n v="30.0869"/>
    <n v="78.267600000000002"/>
    <x v="3"/>
    <d v="2026-05-16T00:00:00"/>
    <x v="0"/>
    <n v="55000"/>
    <n v="84.1"/>
    <s v="No"/>
    <n v="0"/>
    <x v="1"/>
    <n v="0"/>
    <n v="5"/>
  </r>
  <r>
    <n v="1031"/>
    <s v="Isha Thakur"/>
    <x v="1"/>
    <n v="20"/>
    <x v="2"/>
    <s v="Computer Applications"/>
    <s v="Patna"/>
    <x v="5"/>
    <s v="India"/>
    <n v="25.594100000000001"/>
    <n v="85.137600000000006"/>
    <x v="4"/>
    <d v="2025-01-01T00:00:00"/>
    <x v="0"/>
    <n v="75000"/>
    <n v="91.8"/>
    <s v="Yes"/>
    <n v="15000"/>
    <x v="1"/>
    <n v="0"/>
    <n v="4.9000000000000004"/>
  </r>
  <r>
    <n v="1032"/>
    <s v="Tanya Agarwal"/>
    <x v="0"/>
    <n v="23"/>
    <x v="2"/>
    <s v="Computer Applications"/>
    <s v="Patna"/>
    <x v="5"/>
    <s v="India"/>
    <n v="25.594100000000001"/>
    <n v="85.137600000000006"/>
    <x v="1"/>
    <d v="2024-09-16T00:00:00"/>
    <x v="0"/>
    <n v="60000"/>
    <n v="77.099999999999994"/>
    <s v="No"/>
    <n v="0"/>
    <x v="1"/>
    <n v="0"/>
    <n v="3.4"/>
  </r>
  <r>
    <n v="1033"/>
    <s v="Sahil Rana"/>
    <x v="1"/>
    <n v="22"/>
    <x v="4"/>
    <s v="Arts"/>
    <s v="Chandigarh"/>
    <x v="3"/>
    <s v="India"/>
    <n v="30.7333"/>
    <n v="76.779399999999995"/>
    <x v="4"/>
    <d v="2025-10-08T00:00:00"/>
    <x v="1"/>
    <n v="50000"/>
    <n v="73.2"/>
    <s v="No"/>
    <n v="0"/>
    <x v="3"/>
    <n v="0"/>
    <n v="4.2"/>
  </r>
  <r>
    <n v="1034"/>
    <s v="Nitin Bisht"/>
    <x v="0"/>
    <n v="21"/>
    <x v="3"/>
    <s v="Computer Applications"/>
    <s v="Delhi"/>
    <x v="4"/>
    <s v="India"/>
    <n v="28.613900000000001"/>
    <n v="77.209000000000003"/>
    <x v="3"/>
    <d v="2026-08-31T00:00:00"/>
    <x v="1"/>
    <n v="75000"/>
    <n v="97.5"/>
    <s v="Yes"/>
    <n v="5000"/>
    <x v="0"/>
    <n v="600000"/>
    <n v="4.3"/>
  </r>
  <r>
    <n v="1035"/>
    <s v="Tanya Verma"/>
    <x v="1"/>
    <n v="23"/>
    <x v="5"/>
    <s v="Information Technology"/>
    <s v="Delhi"/>
    <x v="4"/>
    <s v="India"/>
    <n v="28.613900000000001"/>
    <n v="77.209000000000003"/>
    <x v="2"/>
    <d v="2023-03-17T00:00:00"/>
    <x v="0"/>
    <n v="60000"/>
    <n v="71.099999999999994"/>
    <s v="Yes"/>
    <n v="20000"/>
    <x v="1"/>
    <n v="0"/>
    <n v="4.3"/>
  </r>
  <r>
    <n v="1036"/>
    <s v="Sahil Jain"/>
    <x v="0"/>
    <n v="19"/>
    <x v="0"/>
    <s v="Management"/>
    <s v="Pune"/>
    <x v="6"/>
    <s v="India"/>
    <n v="18.520399999999999"/>
    <n v="73.856700000000004"/>
    <x v="0"/>
    <d v="2022-02-24T00:00:00"/>
    <x v="1"/>
    <n v="85000"/>
    <n v="70.099999999999994"/>
    <s v="No"/>
    <n v="0"/>
    <x v="0"/>
    <n v="300000"/>
    <n v="4.8"/>
  </r>
  <r>
    <n v="1037"/>
    <s v="Isha Bisht"/>
    <x v="1"/>
    <n v="24"/>
    <x v="1"/>
    <s v="Commerce"/>
    <s v="Pune"/>
    <x v="6"/>
    <s v="India"/>
    <n v="18.520399999999999"/>
    <n v="73.856700000000004"/>
    <x v="3"/>
    <d v="2026-10-14T00:00:00"/>
    <x v="0"/>
    <n v="60000"/>
    <n v="97.2"/>
    <s v="No"/>
    <n v="0"/>
    <x v="3"/>
    <n v="0"/>
    <n v="4.0999999999999996"/>
  </r>
  <r>
    <n v="1038"/>
    <s v="Vivek Shukla"/>
    <x v="0"/>
    <n v="21"/>
    <x v="5"/>
    <s v="Information Technology"/>
    <s v="Delhi"/>
    <x v="4"/>
    <s v="India"/>
    <n v="28.613900000000001"/>
    <n v="77.209000000000003"/>
    <x v="1"/>
    <d v="2024-09-23T00:00:00"/>
    <x v="0"/>
    <n v="60000"/>
    <n v="70.900000000000006"/>
    <s v="Yes"/>
    <n v="15000"/>
    <x v="0"/>
    <n v="360000"/>
    <n v="3.6"/>
  </r>
  <r>
    <n v="1039"/>
    <s v="Rajat Verma"/>
    <x v="1"/>
    <n v="19"/>
    <x v="0"/>
    <s v="Management"/>
    <s v="Jaipur"/>
    <x v="8"/>
    <s v="India"/>
    <n v="26.912400000000002"/>
    <n v="75.787300000000002"/>
    <x v="2"/>
    <d v="2023-04-20T00:00:00"/>
    <x v="0"/>
    <n v="65000"/>
    <n v="77.099999999999994"/>
    <s v="No"/>
    <n v="0"/>
    <x v="1"/>
    <n v="0"/>
    <n v="3.4"/>
  </r>
  <r>
    <n v="1040"/>
    <s v="Varun Thakur"/>
    <x v="1"/>
    <n v="24"/>
    <x v="4"/>
    <s v="Arts"/>
    <s v="Jaipur"/>
    <x v="8"/>
    <s v="India"/>
    <n v="26.912400000000002"/>
    <n v="75.787300000000002"/>
    <x v="4"/>
    <d v="2025-01-04T00:00:00"/>
    <x v="1"/>
    <n v="60000"/>
    <n v="73"/>
    <s v="No"/>
    <n v="0"/>
    <x v="1"/>
    <n v="0"/>
    <n v="4.5"/>
  </r>
  <r>
    <n v="1041"/>
    <s v="Abhishek Kapoor"/>
    <x v="0"/>
    <n v="19"/>
    <x v="5"/>
    <s v="Information Technology"/>
    <s v="Jaipur"/>
    <x v="8"/>
    <s v="India"/>
    <n v="26.912400000000002"/>
    <n v="75.787300000000002"/>
    <x v="4"/>
    <d v="2025-01-15T00:00:00"/>
    <x v="0"/>
    <n v="85000"/>
    <n v="86.7"/>
    <s v="No"/>
    <n v="0"/>
    <x v="3"/>
    <n v="0"/>
    <n v="4.7"/>
  </r>
  <r>
    <n v="1042"/>
    <s v="Rahul Agarwal"/>
    <x v="1"/>
    <n v="21"/>
    <x v="4"/>
    <s v="Arts"/>
    <s v="Kolkata"/>
    <x v="1"/>
    <s v="India"/>
    <n v="22.572600000000001"/>
    <n v="88.363900000000001"/>
    <x v="0"/>
    <d v="2022-02-12T00:00:00"/>
    <x v="0"/>
    <n v="60000"/>
    <n v="67"/>
    <s v="Yes"/>
    <n v="5000"/>
    <x v="0"/>
    <n v="360000"/>
    <n v="3.4"/>
  </r>
  <r>
    <n v="1043"/>
    <s v="Nitin Kumar"/>
    <x v="0"/>
    <n v="20"/>
    <x v="1"/>
    <s v="Commerce"/>
    <s v="Chandigarh"/>
    <x v="3"/>
    <s v="India"/>
    <n v="30.7333"/>
    <n v="76.779399999999995"/>
    <x v="0"/>
    <d v="2022-08-29T00:00:00"/>
    <x v="0"/>
    <n v="55000"/>
    <n v="82"/>
    <s v="Yes"/>
    <n v="5000"/>
    <x v="3"/>
    <n v="0"/>
    <n v="4.3"/>
  </r>
  <r>
    <n v="1044"/>
    <s v="Ananya Kapoor"/>
    <x v="1"/>
    <n v="24"/>
    <x v="2"/>
    <s v="Computer Applications"/>
    <s v="Kolkata"/>
    <x v="1"/>
    <s v="India"/>
    <n v="22.572600000000001"/>
    <n v="88.363900000000001"/>
    <x v="2"/>
    <d v="2023-05-03T00:00:00"/>
    <x v="0"/>
    <n v="65000"/>
    <n v="86.8"/>
    <s v="Yes"/>
    <n v="20000"/>
    <x v="1"/>
    <n v="0"/>
    <n v="4.5"/>
  </r>
  <r>
    <n v="1045"/>
    <s v="Vivek Agarwal"/>
    <x v="1"/>
    <n v="24"/>
    <x v="0"/>
    <s v="Management"/>
    <s v="Chandigarh"/>
    <x v="3"/>
    <s v="India"/>
    <n v="30.7333"/>
    <n v="76.779399999999995"/>
    <x v="0"/>
    <d v="2022-10-24T00:00:00"/>
    <x v="0"/>
    <n v="75000"/>
    <n v="73.5"/>
    <s v="No"/>
    <n v="0"/>
    <x v="1"/>
    <n v="0"/>
    <n v="4.4000000000000004"/>
  </r>
  <r>
    <n v="1046"/>
    <s v="Aditya Saini"/>
    <x v="1"/>
    <n v="18"/>
    <x v="3"/>
    <s v="Computer Applications"/>
    <s v="Chandigarh"/>
    <x v="3"/>
    <s v="India"/>
    <n v="30.7333"/>
    <n v="76.779399999999995"/>
    <x v="3"/>
    <d v="2026-03-03T00:00:00"/>
    <x v="1"/>
    <n v="45000"/>
    <n v="82.9"/>
    <s v="No"/>
    <n v="0"/>
    <x v="1"/>
    <n v="0"/>
    <n v="4.3"/>
  </r>
  <r>
    <n v="1047"/>
    <s v="Tanya Sharma"/>
    <x v="0"/>
    <n v="24"/>
    <x v="1"/>
    <s v="Commerce"/>
    <s v="Dehradun"/>
    <x v="0"/>
    <s v="India"/>
    <n v="30.316500000000001"/>
    <n v="78.032200000000003"/>
    <x v="4"/>
    <d v="2025-07-05T00:00:00"/>
    <x v="0"/>
    <n v="75000"/>
    <n v="92.7"/>
    <s v="Yes"/>
    <n v="20000"/>
    <x v="0"/>
    <n v="480000"/>
    <n v="4.9000000000000004"/>
  </r>
  <r>
    <n v="1048"/>
    <s v="Simran Agarwal"/>
    <x v="0"/>
    <n v="21"/>
    <x v="1"/>
    <s v="Commerce"/>
    <s v="Patna"/>
    <x v="5"/>
    <s v="India"/>
    <n v="25.594100000000001"/>
    <n v="85.137600000000006"/>
    <x v="3"/>
    <d v="2026-05-18T00:00:00"/>
    <x v="0"/>
    <n v="45000"/>
    <n v="71.099999999999994"/>
    <s v="No"/>
    <n v="0"/>
    <x v="2"/>
    <n v="0"/>
    <n v="3.5"/>
  </r>
  <r>
    <n v="1049"/>
    <s v="Komal Saini"/>
    <x v="0"/>
    <n v="20"/>
    <x v="2"/>
    <s v="Computer Applications"/>
    <s v="Mumbai"/>
    <x v="6"/>
    <s v="India"/>
    <n v="19.076000000000001"/>
    <n v="72.877700000000004"/>
    <x v="1"/>
    <d v="2024-04-03T00:00:00"/>
    <x v="0"/>
    <n v="55000"/>
    <n v="75.099999999999994"/>
    <s v="No"/>
    <n v="0"/>
    <x v="0"/>
    <n v="480000"/>
    <n v="4.4000000000000004"/>
  </r>
  <r>
    <n v="1050"/>
    <s v="Simran Kaur"/>
    <x v="1"/>
    <n v="22"/>
    <x v="0"/>
    <s v="Management"/>
    <s v="Dehradun"/>
    <x v="0"/>
    <s v="India"/>
    <n v="30.316500000000001"/>
    <n v="78.032200000000003"/>
    <x v="2"/>
    <d v="2023-07-28T00:00:00"/>
    <x v="0"/>
    <n v="75000"/>
    <n v="90.1"/>
    <s v="No"/>
    <n v="0"/>
    <x v="1"/>
    <n v="0"/>
    <n v="4"/>
  </r>
  <r>
    <n v="1051"/>
    <s v="Ananya Verma"/>
    <x v="0"/>
    <n v="19"/>
    <x v="1"/>
    <s v="Commerce"/>
    <s v="Patna"/>
    <x v="5"/>
    <s v="India"/>
    <n v="25.594100000000001"/>
    <n v="85.137600000000006"/>
    <x v="2"/>
    <d v="2023-06-06T00:00:00"/>
    <x v="0"/>
    <n v="65000"/>
    <n v="75.7"/>
    <s v="No"/>
    <n v="0"/>
    <x v="1"/>
    <n v="0"/>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r>
  <r>
    <x v="1"/>
    <x v="1"/>
  </r>
  <r>
    <x v="2"/>
    <x v="2"/>
  </r>
  <r>
    <x v="3"/>
    <x v="3"/>
  </r>
  <r>
    <x v="4"/>
    <x v="4"/>
  </r>
  <r>
    <x v="5"/>
    <x v="5"/>
  </r>
  <r>
    <x v="6"/>
    <x v="6"/>
  </r>
  <r>
    <x v="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46ED34-C96F-4481-8049-7FB5440513A0}"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6" firstHeaderRow="1" firstDataRow="1" firstDataCol="1"/>
  <pivotFields count="21">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items count="6">
        <item x="0"/>
        <item x="2"/>
        <item x="1"/>
        <item x="4"/>
        <item x="3"/>
        <item t="default"/>
      </items>
    </pivotField>
    <pivotField numFmtId="164"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Student_ID" fld="0" subtotal="count"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0A82FD-AC50-431F-9866-92CD22AE54EA}"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21">
    <pivotField dataField="1" showAll="0"/>
    <pivotField showAll="0"/>
    <pivotField showAll="0">
      <items count="3">
        <item x="0"/>
        <item x="1"/>
        <item t="default"/>
      </items>
    </pivotField>
    <pivotField showAll="0"/>
    <pivotField showAll="0">
      <items count="7">
        <item x="4"/>
        <item x="0"/>
        <item x="2"/>
        <item x="1"/>
        <item x="5"/>
        <item x="3"/>
        <item t="default"/>
      </items>
    </pivotField>
    <pivotField showAll="0"/>
    <pivotField showAll="0"/>
    <pivotField showAll="0">
      <items count="10">
        <item x="5"/>
        <item x="3"/>
        <item x="4"/>
        <item x="7"/>
        <item x="6"/>
        <item x="8"/>
        <item x="2"/>
        <item x="0"/>
        <item x="1"/>
        <item t="default"/>
      </items>
    </pivotField>
    <pivotField showAll="0"/>
    <pivotField showAll="0"/>
    <pivotField showAll="0"/>
    <pivotField showAll="0">
      <items count="6">
        <item x="0"/>
        <item x="2"/>
        <item x="1"/>
        <item x="4"/>
        <item x="3"/>
        <item t="default"/>
      </items>
    </pivotField>
    <pivotField numFmtId="164" showAll="0"/>
    <pivotField showAll="0">
      <items count="4">
        <item x="0"/>
        <item x="1"/>
        <item x="2"/>
        <item t="default"/>
      </items>
    </pivotField>
    <pivotField showAll="0"/>
    <pivotField showAll="0"/>
    <pivotField showAll="0"/>
    <pivotField showAll="0"/>
    <pivotField axis="axisRow" showAll="0">
      <items count="5">
        <item x="3"/>
        <item x="2"/>
        <item x="1"/>
        <item x="0"/>
        <item t="default"/>
      </items>
    </pivotField>
    <pivotField showAll="0"/>
    <pivotField showAll="0"/>
  </pivotFields>
  <rowFields count="1">
    <field x="18"/>
  </rowFields>
  <rowItems count="5">
    <i>
      <x/>
    </i>
    <i>
      <x v="1"/>
    </i>
    <i>
      <x v="2"/>
    </i>
    <i>
      <x v="3"/>
    </i>
    <i t="grand">
      <x/>
    </i>
  </rowItems>
  <colItems count="1">
    <i/>
  </colItems>
  <dataFields count="1">
    <dataField name="Count of Student_ID" fld="0" subtotal="count" baseField="1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5A6FD1-CFA9-4E8E-A375-E823349E58FD}" name="PivotTable2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2">
    <pivotField showAll="0">
      <items count="9">
        <item x="1"/>
        <item x="2"/>
        <item x="6"/>
        <item x="7"/>
        <item x="3"/>
        <item x="5"/>
        <item x="4"/>
        <item x="0"/>
        <item t="default"/>
      </items>
    </pivotField>
    <pivotField showAll="0">
      <items count="9">
        <item x="2"/>
        <item x="7"/>
        <item x="6"/>
        <item x="3"/>
        <item x="1"/>
        <item x="0"/>
        <item x="5"/>
        <item x="4"/>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0A75D4-7FC9-4765-8D41-AE5CC780095D}"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0" firstHeaderRow="1" firstDataRow="1" firstDataCol="1"/>
  <pivotFields count="21">
    <pivotField dataField="1" showAll="0"/>
    <pivotField showAll="0"/>
    <pivotField showAll="0"/>
    <pivotField showAll="0"/>
    <pivotField axis="axisRow" showAll="0">
      <items count="7">
        <item x="4"/>
        <item x="0"/>
        <item x="2"/>
        <item x="1"/>
        <item x="5"/>
        <item x="3"/>
        <item t="default"/>
      </items>
    </pivotField>
    <pivotField showAll="0"/>
    <pivotField showAll="0"/>
    <pivotField showAll="0"/>
    <pivotField showAll="0"/>
    <pivotField showAll="0"/>
    <pivotField showAll="0"/>
    <pivotField showAll="0">
      <items count="6">
        <item x="0"/>
        <item x="2"/>
        <item x="1"/>
        <item x="4"/>
        <item x="3"/>
        <item t="default"/>
      </items>
    </pivotField>
    <pivotField numFmtId="164" showAll="0"/>
    <pivotField showAll="0">
      <items count="4">
        <item x="0"/>
        <item x="1"/>
        <item x="2"/>
        <item t="default"/>
      </items>
    </pivotField>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Student_ID"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164935-197E-4DA3-92C1-616369B5D8F4}"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7"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items count="6">
        <item x="0"/>
        <item x="2"/>
        <item x="1"/>
        <item x="4"/>
        <item x="3"/>
        <item t="default"/>
      </items>
    </pivotField>
    <pivotField numFmtId="164"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tudent_ID" fld="0" subtotal="count"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CDC380-E879-4D78-AC78-8614F3E35463}"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9"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axis="axisRow" showAll="0">
      <items count="6">
        <item x="0"/>
        <item x="2"/>
        <item x="1"/>
        <item x="4"/>
        <item x="3"/>
        <item t="default"/>
      </items>
    </pivotField>
    <pivotField numFmtId="164"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Count of Student_ID" fld="0" subtotal="count"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49D5E40-8257-4DE6-ACB7-8CCF2884A164}" sourceName="Gender">
  <pivotTables>
    <pivotTable tabId="9" name="PivotTable20"/>
  </pivotTables>
  <data>
    <tabular pivotCacheId="6730787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C2B3144C-5712-47F8-A360-A4116861AFA7}" sourceName="Course">
  <pivotTables>
    <pivotTable tabId="9" name="PivotTable20"/>
  </pivotTables>
  <data>
    <tabular pivotCacheId="673078727">
      <items count="6">
        <i x="4" s="1"/>
        <i x="0" s="1"/>
        <i x="2" s="1"/>
        <i x="1"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D9FE491-B4A3-471F-B74C-31F41686DCEB}" sourceName="State">
  <pivotTables>
    <pivotTable tabId="9" name="PivotTable20"/>
  </pivotTables>
  <data>
    <tabular pivotCacheId="673078727">
      <items count="9">
        <i x="5" s="1"/>
        <i x="3" s="1"/>
        <i x="4" s="1"/>
        <i x="7" s="1"/>
        <i x="6" s="1"/>
        <i x="8"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Year" xr10:uid="{BD2443BA-2A7B-4971-9F4E-12E160EFF3E6}" sourceName="Admission_Year">
  <pivotTables>
    <pivotTable tabId="9" name="PivotTable20"/>
    <pivotTable tabId="4" name="PivotTable16"/>
    <pivotTable tabId="6" name="PivotTable17"/>
    <pivotTable tabId="7" name="PivotTable18"/>
    <pivotTable tabId="8" name="PivotTable19"/>
  </pivotTables>
  <data>
    <tabular pivotCacheId="673078727">
      <items count="5">
        <i x="0" s="1"/>
        <i x="2" s="1"/>
        <i x="1"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rollment_Status" xr10:uid="{305CBF19-8A66-442A-864B-00FEC5F5EA1C}" sourceName="Enrollment_Status">
  <pivotTables>
    <pivotTable tabId="9" name="PivotTable20"/>
    <pivotTable tabId="4" name="PivotTable16"/>
  </pivotTables>
  <data>
    <tabular pivotCacheId="6730787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676E2C5-8485-44CB-9E1E-5EB8E3464D7C}" cache="Slicer_Gender" caption="Gender" rowHeight="241300"/>
  <slicer name="Course" xr10:uid="{E0E477BC-0165-4D26-9630-662B8184189E}" cache="Slicer_Course" caption="Course" rowHeight="241300"/>
  <slicer name="State" xr10:uid="{BFCB23E7-EDAB-4115-997B-EBA146EA66B9}" cache="Slicer_State" caption="State" rowHeight="241300"/>
  <slicer name="Admission_Year" xr10:uid="{52A86C5F-358C-49F1-B93B-937A34AC5D7D}" cache="Slicer_Admission_Year" caption="Admission_Year" rowHeight="241300"/>
  <slicer name="Enrollment_Status" xr10:uid="{C830326F-8FE8-462F-92A5-11BC5CD50334}" cache="Slicer_Enrollment_Status" caption="Enrollment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318E9-3F7D-4B9E-8FB3-A576CEB3D383}" name="tblStudents" displayName="tblStudents" ref="A1:U51" totalsRowShown="0" headerRowDxfId="3" headerRowBorderDxfId="2" tableBorderDxfId="1">
  <autoFilter ref="A1:U51" xr:uid="{030318E9-3F7D-4B9E-8FB3-A576CEB3D383}"/>
  <tableColumns count="21">
    <tableColumn id="1" xr3:uid="{2FCB575B-DC2F-4458-958F-79B863469B56}" name="Student_ID"/>
    <tableColumn id="2" xr3:uid="{F3DD02D0-B194-4176-A9CF-F4332678149E}" name="Student_Name"/>
    <tableColumn id="3" xr3:uid="{F57DE745-90C9-4C45-8187-74E4CC5675DC}" name="Gender"/>
    <tableColumn id="4" xr3:uid="{6DDA53DF-7FB8-4650-B2C7-E3A4340B400F}" name="Age"/>
    <tableColumn id="5" xr3:uid="{E3AEA45E-B0A4-42EF-A76D-6F419F169D7E}" name="Course"/>
    <tableColumn id="6" xr3:uid="{8EAC76F6-E335-4F80-A429-57FD365FF18F}" name="Department"/>
    <tableColumn id="7" xr3:uid="{90265412-34BA-41D9-BE23-55A729A810C6}" name="City"/>
    <tableColumn id="8" xr3:uid="{C10755F3-50AD-471C-8E09-F3476D2979B2}" name="State"/>
    <tableColumn id="9" xr3:uid="{B198A098-40C6-44FA-943E-0E93FF60D544}" name="Country"/>
    <tableColumn id="10" xr3:uid="{278D6CB2-D023-4A01-A81C-46F2008AF864}" name="Latitude"/>
    <tableColumn id="11" xr3:uid="{2141B106-A3F1-4732-B3EB-F06A60571BE8}" name="Longitude"/>
    <tableColumn id="12" xr3:uid="{8AC48E3C-776C-4659-8A2A-2B1FE4A8A911}" name="Admission_Year"/>
    <tableColumn id="13" xr3:uid="{3863D4F7-2650-4A02-BC81-52CEC088239B}" name="Admission_Date" dataDxfId="0"/>
    <tableColumn id="14" xr3:uid="{4471748C-9CF2-4376-AA3E-BC513493E228}" name="Enrollment_Status"/>
    <tableColumn id="15" xr3:uid="{749189A9-3D2D-4D4E-A6A0-BBD412E62774}" name="Annual_Fees"/>
    <tableColumn id="16" xr3:uid="{9A6DF61D-1A83-4BF7-9DA6-A5A5A4825792}" name="Attendance_Percentage"/>
    <tableColumn id="17" xr3:uid="{C5C72FC2-3B3A-4477-B6DC-F72AF8E1FFD9}" name="Scholarship"/>
    <tableColumn id="18" xr3:uid="{0F6EEF34-E9E0-4510-847F-94DDB92D95A5}" name="Scholarship_Amount"/>
    <tableColumn id="19" xr3:uid="{607EE271-06E9-46D2-B4AE-197DC7710746}" name="Placement_Status"/>
    <tableColumn id="20" xr3:uid="{6A5D9935-8B2B-4760-ACCF-B7F52D863942}" name="Placement_Salary"/>
    <tableColumn id="21" xr3:uid="{ED94614A-F5C7-4906-8413-F6B9F2FD3D60}" name="Student_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A81F2-2088-4709-89B9-2507E060ABD3}">
  <dimension ref="A3:B6"/>
  <sheetViews>
    <sheetView workbookViewId="0">
      <selection activeCell="C30" sqref="C30"/>
    </sheetView>
  </sheetViews>
  <sheetFormatPr defaultRowHeight="14.25"/>
  <cols>
    <col min="1" max="1" width="12.06640625" bestFit="1" customWidth="1"/>
    <col min="2" max="2" width="17.46484375" bestFit="1" customWidth="1"/>
  </cols>
  <sheetData>
    <row r="3" spans="1:2">
      <c r="A3" s="16" t="s">
        <v>123</v>
      </c>
      <c r="B3" t="s">
        <v>125</v>
      </c>
    </row>
    <row r="4" spans="1:2">
      <c r="A4" s="17" t="s">
        <v>71</v>
      </c>
      <c r="B4">
        <v>25</v>
      </c>
    </row>
    <row r="5" spans="1:2">
      <c r="A5" s="17" t="s">
        <v>72</v>
      </c>
      <c r="B5">
        <v>25</v>
      </c>
    </row>
    <row r="6" spans="1:2">
      <c r="A6" s="17" t="s">
        <v>124</v>
      </c>
      <c r="B6">
        <v>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C851D-9C01-4CC4-809E-DEA114952E6B}">
  <dimension ref="A3:B8"/>
  <sheetViews>
    <sheetView topLeftCell="A2" workbookViewId="0">
      <selection activeCell="E5" sqref="E5"/>
    </sheetView>
  </sheetViews>
  <sheetFormatPr defaultRowHeight="14.25"/>
  <cols>
    <col min="1" max="1" width="12.06640625" bestFit="1" customWidth="1"/>
    <col min="2" max="2" width="17.46484375" bestFit="1" customWidth="1"/>
  </cols>
  <sheetData>
    <row r="3" spans="1:2">
      <c r="A3" s="16" t="s">
        <v>123</v>
      </c>
      <c r="B3" t="s">
        <v>125</v>
      </c>
    </row>
    <row r="4" spans="1:2">
      <c r="A4" s="17" t="s">
        <v>112</v>
      </c>
      <c r="B4">
        <v>6</v>
      </c>
    </row>
    <row r="5" spans="1:2">
      <c r="A5" s="17" t="s">
        <v>111</v>
      </c>
      <c r="B5">
        <v>2</v>
      </c>
    </row>
    <row r="6" spans="1:2">
      <c r="A6" s="17" t="s">
        <v>110</v>
      </c>
      <c r="B6">
        <v>20</v>
      </c>
    </row>
    <row r="7" spans="1:2">
      <c r="A7" s="17" t="s">
        <v>109</v>
      </c>
      <c r="B7">
        <v>22</v>
      </c>
    </row>
    <row r="8" spans="1:2">
      <c r="A8" s="17" t="s">
        <v>124</v>
      </c>
      <c r="B8">
        <v>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21"/>
  <sheetViews>
    <sheetView topLeftCell="A2" zoomScale="89" zoomScaleNormal="55" workbookViewId="0">
      <selection activeCell="C25" sqref="C25"/>
    </sheetView>
  </sheetViews>
  <sheetFormatPr defaultRowHeight="14.25"/>
  <cols>
    <col min="1" max="1" width="13.59765625" customWidth="1"/>
    <col min="2" max="2" width="15.46484375" customWidth="1"/>
    <col min="3" max="3" width="11.33203125" customWidth="1"/>
    <col min="4" max="4" width="10.59765625" customWidth="1"/>
    <col min="5" max="5" width="11.86328125" customWidth="1"/>
    <col min="6" max="6" width="27.46484375" customWidth="1"/>
    <col min="7" max="7" width="19.3984375" customWidth="1"/>
    <col min="8" max="8" width="31.796875" customWidth="1"/>
    <col min="9" max="9" width="11.3984375" customWidth="1"/>
    <col min="10" max="10" width="9.265625" customWidth="1"/>
    <col min="11" max="11" width="10.6640625" customWidth="1"/>
    <col min="12" max="12" width="18.33203125" customWidth="1"/>
    <col min="13" max="13" width="21.46484375" customWidth="1"/>
    <col min="14" max="14" width="17.53125" customWidth="1"/>
    <col min="15" max="15" width="15.33203125" customWidth="1"/>
    <col min="16" max="16" width="22.53125" customWidth="1"/>
    <col min="17" max="17" width="18.59765625" customWidth="1"/>
    <col min="18" max="18" width="23.265625" customWidth="1"/>
    <col min="19" max="19" width="17.6640625" customWidth="1"/>
    <col min="20" max="20" width="23.6640625" customWidth="1"/>
    <col min="21" max="21" width="15.59765625" customWidth="1"/>
  </cols>
  <sheetData>
    <row r="1" spans="1:2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c r="A2">
        <v>1002</v>
      </c>
      <c r="B2" t="s">
        <v>21</v>
      </c>
      <c r="C2" t="s">
        <v>71</v>
      </c>
      <c r="D2">
        <v>19</v>
      </c>
      <c r="E2" t="s">
        <v>73</v>
      </c>
      <c r="F2" t="s">
        <v>79</v>
      </c>
      <c r="G2" t="s">
        <v>84</v>
      </c>
      <c r="H2" t="s">
        <v>96</v>
      </c>
      <c r="I2" t="s">
        <v>103</v>
      </c>
      <c r="J2">
        <v>30.0869</v>
      </c>
      <c r="K2">
        <v>78.267600000000002</v>
      </c>
      <c r="L2">
        <v>2022</v>
      </c>
      <c r="M2" s="1">
        <v>44841</v>
      </c>
      <c r="N2" t="s">
        <v>104</v>
      </c>
      <c r="O2">
        <v>45000</v>
      </c>
      <c r="P2">
        <v>77.599999999999994</v>
      </c>
      <c r="Q2" t="s">
        <v>107</v>
      </c>
      <c r="R2">
        <v>10000</v>
      </c>
      <c r="S2" t="s">
        <v>109</v>
      </c>
      <c r="T2">
        <v>480000</v>
      </c>
      <c r="U2">
        <v>3.1</v>
      </c>
    </row>
    <row r="3" spans="1:21">
      <c r="A3">
        <v>1003</v>
      </c>
      <c r="B3" t="s">
        <v>22</v>
      </c>
      <c r="C3" t="s">
        <v>71</v>
      </c>
      <c r="D3">
        <v>19</v>
      </c>
      <c r="E3" t="s">
        <v>74</v>
      </c>
      <c r="F3" t="s">
        <v>80</v>
      </c>
      <c r="G3" t="s">
        <v>85</v>
      </c>
      <c r="H3" t="s">
        <v>97</v>
      </c>
      <c r="I3" t="s">
        <v>103</v>
      </c>
      <c r="J3">
        <v>22.572600000000001</v>
      </c>
      <c r="K3">
        <v>88.363900000000001</v>
      </c>
      <c r="L3">
        <v>2024</v>
      </c>
      <c r="M3" s="1">
        <v>45295</v>
      </c>
      <c r="N3" t="s">
        <v>105</v>
      </c>
      <c r="O3">
        <v>60000</v>
      </c>
      <c r="P3">
        <v>67.900000000000006</v>
      </c>
      <c r="Q3" t="s">
        <v>108</v>
      </c>
      <c r="R3">
        <v>0</v>
      </c>
      <c r="S3" t="s">
        <v>109</v>
      </c>
      <c r="T3">
        <v>300000</v>
      </c>
      <c r="U3">
        <v>4.9000000000000004</v>
      </c>
    </row>
    <row r="4" spans="1:21">
      <c r="A4">
        <v>1004</v>
      </c>
      <c r="B4" t="s">
        <v>23</v>
      </c>
      <c r="C4" t="s">
        <v>72</v>
      </c>
      <c r="D4">
        <v>21</v>
      </c>
      <c r="E4" t="s">
        <v>75</v>
      </c>
      <c r="F4" t="s">
        <v>81</v>
      </c>
      <c r="G4" t="s">
        <v>86</v>
      </c>
      <c r="H4" t="s">
        <v>98</v>
      </c>
      <c r="I4" t="s">
        <v>103</v>
      </c>
      <c r="J4">
        <v>26.846699999999998</v>
      </c>
      <c r="K4">
        <v>80.946200000000005</v>
      </c>
      <c r="L4">
        <v>2024</v>
      </c>
      <c r="M4" s="1">
        <v>45427</v>
      </c>
      <c r="N4" t="s">
        <v>105</v>
      </c>
      <c r="O4">
        <v>65000</v>
      </c>
      <c r="P4">
        <v>89</v>
      </c>
      <c r="Q4" t="s">
        <v>107</v>
      </c>
      <c r="R4">
        <v>20000</v>
      </c>
      <c r="S4" t="s">
        <v>109</v>
      </c>
      <c r="T4">
        <v>360000</v>
      </c>
      <c r="U4">
        <v>4.7</v>
      </c>
    </row>
    <row r="5" spans="1:21">
      <c r="A5">
        <v>1005</v>
      </c>
      <c r="B5" t="s">
        <v>24</v>
      </c>
      <c r="C5" t="s">
        <v>72</v>
      </c>
      <c r="D5">
        <v>23</v>
      </c>
      <c r="E5" t="s">
        <v>75</v>
      </c>
      <c r="F5" t="s">
        <v>81</v>
      </c>
      <c r="G5" t="s">
        <v>87</v>
      </c>
      <c r="H5" t="s">
        <v>96</v>
      </c>
      <c r="I5" t="s">
        <v>103</v>
      </c>
      <c r="J5">
        <v>29.945699999999999</v>
      </c>
      <c r="K5">
        <v>78.164199999999994</v>
      </c>
      <c r="L5">
        <v>2023</v>
      </c>
      <c r="M5" s="1">
        <v>45075</v>
      </c>
      <c r="N5" t="s">
        <v>106</v>
      </c>
      <c r="O5">
        <v>85000</v>
      </c>
      <c r="P5">
        <v>93.6</v>
      </c>
      <c r="Q5" t="s">
        <v>107</v>
      </c>
      <c r="R5">
        <v>20000</v>
      </c>
      <c r="S5" t="s">
        <v>109</v>
      </c>
      <c r="T5">
        <v>600000</v>
      </c>
      <c r="U5">
        <v>4.7</v>
      </c>
    </row>
    <row r="6" spans="1:21">
      <c r="A6">
        <v>1006</v>
      </c>
      <c r="B6" t="s">
        <v>25</v>
      </c>
      <c r="C6" t="s">
        <v>71</v>
      </c>
      <c r="D6">
        <v>19</v>
      </c>
      <c r="E6" t="s">
        <v>76</v>
      </c>
      <c r="F6" t="s">
        <v>81</v>
      </c>
      <c r="G6" t="s">
        <v>88</v>
      </c>
      <c r="H6" t="s">
        <v>88</v>
      </c>
      <c r="I6" t="s">
        <v>103</v>
      </c>
      <c r="J6">
        <v>30.7333</v>
      </c>
      <c r="K6">
        <v>76.779399999999995</v>
      </c>
      <c r="L6">
        <v>2022</v>
      </c>
      <c r="M6" s="1">
        <v>44649</v>
      </c>
      <c r="N6" t="s">
        <v>104</v>
      </c>
      <c r="O6">
        <v>60000</v>
      </c>
      <c r="P6">
        <v>71.099999999999994</v>
      </c>
      <c r="Q6" t="s">
        <v>108</v>
      </c>
      <c r="R6">
        <v>0</v>
      </c>
      <c r="S6" t="s">
        <v>109</v>
      </c>
      <c r="T6">
        <v>600000</v>
      </c>
      <c r="U6">
        <v>4.4000000000000004</v>
      </c>
    </row>
    <row r="7" spans="1:21">
      <c r="A7">
        <v>1007</v>
      </c>
      <c r="B7" t="s">
        <v>26</v>
      </c>
      <c r="C7" t="s">
        <v>71</v>
      </c>
      <c r="D7">
        <v>24</v>
      </c>
      <c r="E7" t="s">
        <v>75</v>
      </c>
      <c r="F7" t="s">
        <v>81</v>
      </c>
      <c r="G7" t="s">
        <v>89</v>
      </c>
      <c r="H7" t="s">
        <v>89</v>
      </c>
      <c r="I7" t="s">
        <v>103</v>
      </c>
      <c r="J7">
        <v>28.613900000000001</v>
      </c>
      <c r="K7">
        <v>77.209000000000003</v>
      </c>
      <c r="L7">
        <v>2022</v>
      </c>
      <c r="M7" s="1">
        <v>44723</v>
      </c>
      <c r="N7" t="s">
        <v>104</v>
      </c>
      <c r="O7">
        <v>65000</v>
      </c>
      <c r="P7">
        <v>64.400000000000006</v>
      </c>
      <c r="Q7" t="s">
        <v>108</v>
      </c>
      <c r="R7">
        <v>0</v>
      </c>
      <c r="S7" t="s">
        <v>109</v>
      </c>
      <c r="T7">
        <v>420000</v>
      </c>
      <c r="U7">
        <v>3.8</v>
      </c>
    </row>
    <row r="8" spans="1:21">
      <c r="A8">
        <v>1008</v>
      </c>
      <c r="B8" t="s">
        <v>27</v>
      </c>
      <c r="C8" t="s">
        <v>71</v>
      </c>
      <c r="D8">
        <v>19</v>
      </c>
      <c r="E8" t="s">
        <v>73</v>
      </c>
      <c r="F8" t="s">
        <v>79</v>
      </c>
      <c r="G8" t="s">
        <v>90</v>
      </c>
      <c r="H8" t="s">
        <v>99</v>
      </c>
      <c r="I8" t="s">
        <v>103</v>
      </c>
      <c r="J8">
        <v>25.594100000000001</v>
      </c>
      <c r="K8">
        <v>85.137600000000006</v>
      </c>
      <c r="L8">
        <v>2026</v>
      </c>
      <c r="M8" s="1">
        <v>46298</v>
      </c>
      <c r="N8" t="s">
        <v>104</v>
      </c>
      <c r="O8">
        <v>65000</v>
      </c>
      <c r="P8">
        <v>83.6</v>
      </c>
      <c r="Q8" t="s">
        <v>108</v>
      </c>
      <c r="R8">
        <v>0</v>
      </c>
      <c r="S8" t="s">
        <v>110</v>
      </c>
      <c r="T8">
        <v>0</v>
      </c>
      <c r="U8">
        <v>5</v>
      </c>
    </row>
    <row r="9" spans="1:21">
      <c r="A9">
        <v>1009</v>
      </c>
      <c r="B9" t="s">
        <v>28</v>
      </c>
      <c r="C9" t="s">
        <v>71</v>
      </c>
      <c r="D9">
        <v>18</v>
      </c>
      <c r="E9" t="s">
        <v>75</v>
      </c>
      <c r="F9" t="s">
        <v>81</v>
      </c>
      <c r="G9" t="s">
        <v>91</v>
      </c>
      <c r="H9" t="s">
        <v>96</v>
      </c>
      <c r="I9" t="s">
        <v>103</v>
      </c>
      <c r="J9">
        <v>30.316500000000001</v>
      </c>
      <c r="K9">
        <v>78.032200000000003</v>
      </c>
      <c r="L9">
        <v>2023</v>
      </c>
      <c r="M9" s="1">
        <v>45008</v>
      </c>
      <c r="N9" t="s">
        <v>105</v>
      </c>
      <c r="O9">
        <v>45000</v>
      </c>
      <c r="P9">
        <v>77.599999999999994</v>
      </c>
      <c r="Q9" t="s">
        <v>108</v>
      </c>
      <c r="R9">
        <v>0</v>
      </c>
      <c r="S9" t="s">
        <v>110</v>
      </c>
      <c r="T9">
        <v>0</v>
      </c>
      <c r="U9">
        <v>5</v>
      </c>
    </row>
    <row r="10" spans="1:21">
      <c r="A10">
        <v>1010</v>
      </c>
      <c r="B10" t="s">
        <v>29</v>
      </c>
      <c r="C10" t="s">
        <v>72</v>
      </c>
      <c r="D10">
        <v>23</v>
      </c>
      <c r="E10" t="s">
        <v>76</v>
      </c>
      <c r="F10" t="s">
        <v>81</v>
      </c>
      <c r="G10" t="s">
        <v>91</v>
      </c>
      <c r="H10" t="s">
        <v>96</v>
      </c>
      <c r="I10" t="s">
        <v>103</v>
      </c>
      <c r="J10">
        <v>30.316500000000001</v>
      </c>
      <c r="K10">
        <v>78.032200000000003</v>
      </c>
      <c r="L10">
        <v>2026</v>
      </c>
      <c r="M10" s="1">
        <v>46159</v>
      </c>
      <c r="N10" t="s">
        <v>105</v>
      </c>
      <c r="O10">
        <v>55000</v>
      </c>
      <c r="P10">
        <v>74.599999999999994</v>
      </c>
      <c r="Q10" t="s">
        <v>108</v>
      </c>
      <c r="R10">
        <v>0</v>
      </c>
      <c r="S10" t="s">
        <v>109</v>
      </c>
      <c r="T10">
        <v>240000</v>
      </c>
      <c r="U10">
        <v>4.9000000000000004</v>
      </c>
    </row>
    <row r="11" spans="1:21">
      <c r="A11">
        <v>1011</v>
      </c>
      <c r="B11" t="s">
        <v>30</v>
      </c>
      <c r="C11" t="s">
        <v>72</v>
      </c>
      <c r="D11">
        <v>22</v>
      </c>
      <c r="E11" t="s">
        <v>75</v>
      </c>
      <c r="F11" t="s">
        <v>81</v>
      </c>
      <c r="G11" t="s">
        <v>92</v>
      </c>
      <c r="H11" t="s">
        <v>100</v>
      </c>
      <c r="I11" t="s">
        <v>103</v>
      </c>
      <c r="J11">
        <v>18.520399999999999</v>
      </c>
      <c r="K11">
        <v>73.856700000000004</v>
      </c>
      <c r="L11">
        <v>2024</v>
      </c>
      <c r="M11" s="1">
        <v>45551</v>
      </c>
      <c r="N11" t="s">
        <v>104</v>
      </c>
      <c r="O11">
        <v>85000</v>
      </c>
      <c r="P11">
        <v>67.7</v>
      </c>
      <c r="Q11" t="s">
        <v>107</v>
      </c>
      <c r="R11">
        <v>5000</v>
      </c>
      <c r="S11" t="s">
        <v>110</v>
      </c>
      <c r="T11">
        <v>0</v>
      </c>
      <c r="U11">
        <v>4</v>
      </c>
    </row>
    <row r="12" spans="1:21">
      <c r="A12">
        <v>1012</v>
      </c>
      <c r="B12" t="s">
        <v>31</v>
      </c>
      <c r="C12" t="s">
        <v>71</v>
      </c>
      <c r="D12">
        <v>19</v>
      </c>
      <c r="E12" t="s">
        <v>75</v>
      </c>
      <c r="F12" t="s">
        <v>81</v>
      </c>
      <c r="G12" t="s">
        <v>89</v>
      </c>
      <c r="H12" t="s">
        <v>89</v>
      </c>
      <c r="I12" t="s">
        <v>103</v>
      </c>
      <c r="J12">
        <v>28.613900000000001</v>
      </c>
      <c r="K12">
        <v>77.209000000000003</v>
      </c>
      <c r="L12">
        <v>2026</v>
      </c>
      <c r="M12" s="1">
        <v>46063</v>
      </c>
      <c r="N12" t="s">
        <v>104</v>
      </c>
      <c r="O12">
        <v>45000</v>
      </c>
      <c r="P12">
        <v>80</v>
      </c>
      <c r="Q12" t="s">
        <v>107</v>
      </c>
      <c r="R12">
        <v>10000</v>
      </c>
      <c r="S12" t="s">
        <v>110</v>
      </c>
      <c r="T12">
        <v>0</v>
      </c>
      <c r="U12">
        <v>4.9000000000000004</v>
      </c>
    </row>
    <row r="13" spans="1:21">
      <c r="A13">
        <v>1013</v>
      </c>
      <c r="B13" t="s">
        <v>32</v>
      </c>
      <c r="C13" t="s">
        <v>71</v>
      </c>
      <c r="D13">
        <v>19</v>
      </c>
      <c r="E13" t="s">
        <v>77</v>
      </c>
      <c r="F13" t="s">
        <v>82</v>
      </c>
      <c r="G13" t="s">
        <v>90</v>
      </c>
      <c r="H13" t="s">
        <v>99</v>
      </c>
      <c r="I13" t="s">
        <v>103</v>
      </c>
      <c r="J13">
        <v>25.594100000000001</v>
      </c>
      <c r="K13">
        <v>85.137600000000006</v>
      </c>
      <c r="L13">
        <v>2023</v>
      </c>
      <c r="M13" s="1">
        <v>45086</v>
      </c>
      <c r="N13" t="s">
        <v>104</v>
      </c>
      <c r="O13">
        <v>55000</v>
      </c>
      <c r="P13">
        <v>86.9</v>
      </c>
      <c r="Q13" t="s">
        <v>108</v>
      </c>
      <c r="R13">
        <v>0</v>
      </c>
      <c r="S13" t="s">
        <v>111</v>
      </c>
      <c r="T13">
        <v>0</v>
      </c>
      <c r="U13">
        <v>3.9</v>
      </c>
    </row>
    <row r="14" spans="1:21">
      <c r="A14">
        <v>1014</v>
      </c>
      <c r="B14" t="s">
        <v>33</v>
      </c>
      <c r="C14" t="s">
        <v>72</v>
      </c>
      <c r="D14">
        <v>20</v>
      </c>
      <c r="E14" t="s">
        <v>75</v>
      </c>
      <c r="F14" t="s">
        <v>81</v>
      </c>
      <c r="G14" t="s">
        <v>85</v>
      </c>
      <c r="H14" t="s">
        <v>97</v>
      </c>
      <c r="I14" t="s">
        <v>103</v>
      </c>
      <c r="J14">
        <v>22.572600000000001</v>
      </c>
      <c r="K14">
        <v>88.363900000000001</v>
      </c>
      <c r="L14">
        <v>2026</v>
      </c>
      <c r="M14" s="1">
        <v>46140</v>
      </c>
      <c r="N14" t="s">
        <v>104</v>
      </c>
      <c r="O14">
        <v>75000</v>
      </c>
      <c r="P14">
        <v>62.3</v>
      </c>
      <c r="Q14" t="s">
        <v>107</v>
      </c>
      <c r="R14">
        <v>10000</v>
      </c>
      <c r="S14" t="s">
        <v>109</v>
      </c>
      <c r="T14">
        <v>240000</v>
      </c>
      <c r="U14">
        <v>4.7</v>
      </c>
    </row>
    <row r="15" spans="1:21">
      <c r="A15">
        <v>1015</v>
      </c>
      <c r="B15" t="s">
        <v>34</v>
      </c>
      <c r="C15" t="s">
        <v>72</v>
      </c>
      <c r="D15">
        <v>20</v>
      </c>
      <c r="E15" t="s">
        <v>76</v>
      </c>
      <c r="F15" t="s">
        <v>81</v>
      </c>
      <c r="G15" t="s">
        <v>93</v>
      </c>
      <c r="H15" t="s">
        <v>100</v>
      </c>
      <c r="I15" t="s">
        <v>103</v>
      </c>
      <c r="J15">
        <v>19.076000000000001</v>
      </c>
      <c r="K15">
        <v>72.877700000000004</v>
      </c>
      <c r="L15">
        <v>2023</v>
      </c>
      <c r="M15" s="1">
        <v>45203</v>
      </c>
      <c r="N15" t="s">
        <v>104</v>
      </c>
      <c r="O15">
        <v>65000</v>
      </c>
      <c r="P15">
        <v>96.6</v>
      </c>
      <c r="Q15" t="s">
        <v>108</v>
      </c>
      <c r="R15">
        <v>0</v>
      </c>
      <c r="S15" t="s">
        <v>109</v>
      </c>
      <c r="T15">
        <v>420000</v>
      </c>
      <c r="U15">
        <v>4.5999999999999996</v>
      </c>
    </row>
    <row r="16" spans="1:21">
      <c r="A16">
        <v>1016</v>
      </c>
      <c r="B16" t="s">
        <v>35</v>
      </c>
      <c r="C16" t="s">
        <v>72</v>
      </c>
      <c r="D16">
        <v>23</v>
      </c>
      <c r="E16" t="s">
        <v>74</v>
      </c>
      <c r="F16" t="s">
        <v>80</v>
      </c>
      <c r="G16" t="s">
        <v>86</v>
      </c>
      <c r="H16" t="s">
        <v>98</v>
      </c>
      <c r="I16" t="s">
        <v>103</v>
      </c>
      <c r="J16">
        <v>26.846699999999998</v>
      </c>
      <c r="K16">
        <v>80.946200000000005</v>
      </c>
      <c r="L16">
        <v>2025</v>
      </c>
      <c r="M16" s="1">
        <v>45868</v>
      </c>
      <c r="N16" t="s">
        <v>104</v>
      </c>
      <c r="O16">
        <v>75000</v>
      </c>
      <c r="P16">
        <v>89</v>
      </c>
      <c r="Q16" t="s">
        <v>107</v>
      </c>
      <c r="R16">
        <v>5000</v>
      </c>
      <c r="S16" t="s">
        <v>110</v>
      </c>
      <c r="T16">
        <v>0</v>
      </c>
      <c r="U16">
        <v>3.7</v>
      </c>
    </row>
    <row r="17" spans="1:21">
      <c r="A17">
        <v>1017</v>
      </c>
      <c r="B17" t="s">
        <v>36</v>
      </c>
      <c r="C17" t="s">
        <v>72</v>
      </c>
      <c r="D17">
        <v>19</v>
      </c>
      <c r="E17" t="s">
        <v>77</v>
      </c>
      <c r="F17" t="s">
        <v>82</v>
      </c>
      <c r="G17" t="s">
        <v>93</v>
      </c>
      <c r="H17" t="s">
        <v>100</v>
      </c>
      <c r="I17" t="s">
        <v>103</v>
      </c>
      <c r="J17">
        <v>19.076000000000001</v>
      </c>
      <c r="K17">
        <v>72.877700000000004</v>
      </c>
      <c r="L17">
        <v>2023</v>
      </c>
      <c r="M17" s="1">
        <v>45143</v>
      </c>
      <c r="N17" t="s">
        <v>104</v>
      </c>
      <c r="O17">
        <v>85000</v>
      </c>
      <c r="P17">
        <v>79.099999999999994</v>
      </c>
      <c r="Q17" t="s">
        <v>107</v>
      </c>
      <c r="R17">
        <v>20000</v>
      </c>
      <c r="S17" t="s">
        <v>112</v>
      </c>
      <c r="T17">
        <v>0</v>
      </c>
      <c r="U17">
        <v>4.7</v>
      </c>
    </row>
    <row r="18" spans="1:21">
      <c r="A18">
        <v>1018</v>
      </c>
      <c r="B18" t="s">
        <v>37</v>
      </c>
      <c r="C18" t="s">
        <v>72</v>
      </c>
      <c r="D18">
        <v>18</v>
      </c>
      <c r="E18" t="s">
        <v>73</v>
      </c>
      <c r="F18" t="s">
        <v>79</v>
      </c>
      <c r="G18" t="s">
        <v>84</v>
      </c>
      <c r="H18" t="s">
        <v>96</v>
      </c>
      <c r="I18" t="s">
        <v>103</v>
      </c>
      <c r="J18">
        <v>30.0869</v>
      </c>
      <c r="K18">
        <v>78.267600000000002</v>
      </c>
      <c r="L18">
        <v>2025</v>
      </c>
      <c r="M18" s="1">
        <v>45906</v>
      </c>
      <c r="N18" t="s">
        <v>104</v>
      </c>
      <c r="O18">
        <v>45000</v>
      </c>
      <c r="P18">
        <v>94</v>
      </c>
      <c r="Q18" t="s">
        <v>107</v>
      </c>
      <c r="R18">
        <v>20000</v>
      </c>
      <c r="S18" t="s">
        <v>109</v>
      </c>
      <c r="T18">
        <v>420000</v>
      </c>
      <c r="U18">
        <v>3.5</v>
      </c>
    </row>
    <row r="19" spans="1:21">
      <c r="A19">
        <v>1019</v>
      </c>
      <c r="B19" t="s">
        <v>38</v>
      </c>
      <c r="C19" t="s">
        <v>71</v>
      </c>
      <c r="D19">
        <v>23</v>
      </c>
      <c r="E19" t="s">
        <v>76</v>
      </c>
      <c r="F19" t="s">
        <v>81</v>
      </c>
      <c r="G19" t="s">
        <v>94</v>
      </c>
      <c r="H19" t="s">
        <v>101</v>
      </c>
      <c r="I19" t="s">
        <v>103</v>
      </c>
      <c r="J19">
        <v>12.9716</v>
      </c>
      <c r="K19">
        <v>77.5946</v>
      </c>
      <c r="L19">
        <v>2025</v>
      </c>
      <c r="M19" s="1">
        <v>45737</v>
      </c>
      <c r="N19" t="s">
        <v>104</v>
      </c>
      <c r="O19">
        <v>45000</v>
      </c>
      <c r="P19">
        <v>70.099999999999994</v>
      </c>
      <c r="Q19" t="s">
        <v>107</v>
      </c>
      <c r="R19">
        <v>15000</v>
      </c>
      <c r="S19" t="s">
        <v>109</v>
      </c>
      <c r="T19">
        <v>480000</v>
      </c>
      <c r="U19">
        <v>4</v>
      </c>
    </row>
    <row r="20" spans="1:21">
      <c r="A20">
        <v>1020</v>
      </c>
      <c r="B20" t="s">
        <v>39</v>
      </c>
      <c r="C20" t="s">
        <v>72</v>
      </c>
      <c r="D20">
        <v>22</v>
      </c>
      <c r="E20" t="s">
        <v>75</v>
      </c>
      <c r="F20" t="s">
        <v>81</v>
      </c>
      <c r="G20" t="s">
        <v>84</v>
      </c>
      <c r="H20" t="s">
        <v>96</v>
      </c>
      <c r="I20" t="s">
        <v>103</v>
      </c>
      <c r="J20">
        <v>30.0869</v>
      </c>
      <c r="K20">
        <v>78.267600000000002</v>
      </c>
      <c r="L20">
        <v>2022</v>
      </c>
      <c r="M20" s="1">
        <v>44596</v>
      </c>
      <c r="N20" t="s">
        <v>104</v>
      </c>
      <c r="O20">
        <v>45000</v>
      </c>
      <c r="P20">
        <v>70.7</v>
      </c>
      <c r="Q20" t="s">
        <v>107</v>
      </c>
      <c r="R20">
        <v>5000</v>
      </c>
      <c r="S20" t="s">
        <v>110</v>
      </c>
      <c r="T20">
        <v>0</v>
      </c>
      <c r="U20">
        <v>3.8</v>
      </c>
    </row>
    <row r="21" spans="1:21">
      <c r="A21">
        <v>1021</v>
      </c>
      <c r="B21" t="s">
        <v>40</v>
      </c>
      <c r="C21" t="s">
        <v>71</v>
      </c>
      <c r="D21">
        <v>20</v>
      </c>
      <c r="E21" t="s">
        <v>73</v>
      </c>
      <c r="F21" t="s">
        <v>79</v>
      </c>
      <c r="G21" t="s">
        <v>92</v>
      </c>
      <c r="H21" t="s">
        <v>100</v>
      </c>
      <c r="I21" t="s">
        <v>103</v>
      </c>
      <c r="J21">
        <v>18.520399999999999</v>
      </c>
      <c r="K21">
        <v>73.856700000000004</v>
      </c>
      <c r="L21">
        <v>2024</v>
      </c>
      <c r="M21" s="1">
        <v>45414</v>
      </c>
      <c r="N21" t="s">
        <v>104</v>
      </c>
      <c r="O21">
        <v>75000</v>
      </c>
      <c r="P21">
        <v>66.8</v>
      </c>
      <c r="Q21" t="s">
        <v>108</v>
      </c>
      <c r="R21">
        <v>0</v>
      </c>
      <c r="S21" t="s">
        <v>110</v>
      </c>
      <c r="T21">
        <v>0</v>
      </c>
      <c r="U21">
        <v>4.9000000000000004</v>
      </c>
    </row>
    <row r="22" spans="1:21">
      <c r="A22">
        <v>1022</v>
      </c>
      <c r="B22" t="s">
        <v>41</v>
      </c>
      <c r="C22" t="s">
        <v>71</v>
      </c>
      <c r="D22">
        <v>22</v>
      </c>
      <c r="E22" t="s">
        <v>77</v>
      </c>
      <c r="F22" t="s">
        <v>82</v>
      </c>
      <c r="G22" t="s">
        <v>91</v>
      </c>
      <c r="H22" t="s">
        <v>96</v>
      </c>
      <c r="I22" t="s">
        <v>103</v>
      </c>
      <c r="J22">
        <v>30.316500000000001</v>
      </c>
      <c r="K22">
        <v>78.032200000000003</v>
      </c>
      <c r="L22">
        <v>2022</v>
      </c>
      <c r="M22" s="1">
        <v>44837</v>
      </c>
      <c r="N22" t="s">
        <v>104</v>
      </c>
      <c r="O22">
        <v>55000</v>
      </c>
      <c r="P22">
        <v>71.8</v>
      </c>
      <c r="Q22" t="s">
        <v>107</v>
      </c>
      <c r="R22">
        <v>10000</v>
      </c>
      <c r="S22" t="s">
        <v>110</v>
      </c>
      <c r="T22">
        <v>0</v>
      </c>
      <c r="U22">
        <v>3.3</v>
      </c>
    </row>
    <row r="23" spans="1:21">
      <c r="A23">
        <v>1023</v>
      </c>
      <c r="B23" t="s">
        <v>42</v>
      </c>
      <c r="C23" t="s">
        <v>71</v>
      </c>
      <c r="D23">
        <v>22</v>
      </c>
      <c r="E23" t="s">
        <v>76</v>
      </c>
      <c r="F23" t="s">
        <v>81</v>
      </c>
      <c r="G23" t="s">
        <v>94</v>
      </c>
      <c r="H23" t="s">
        <v>101</v>
      </c>
      <c r="I23" t="s">
        <v>103</v>
      </c>
      <c r="J23">
        <v>12.9716</v>
      </c>
      <c r="K23">
        <v>77.5946</v>
      </c>
      <c r="L23">
        <v>2022</v>
      </c>
      <c r="M23" s="1">
        <v>44845</v>
      </c>
      <c r="N23" t="s">
        <v>104</v>
      </c>
      <c r="O23">
        <v>50000</v>
      </c>
      <c r="P23">
        <v>86.5</v>
      </c>
      <c r="Q23" t="s">
        <v>108</v>
      </c>
      <c r="R23">
        <v>0</v>
      </c>
      <c r="S23" t="s">
        <v>109</v>
      </c>
      <c r="T23">
        <v>240000</v>
      </c>
      <c r="U23">
        <v>4.5</v>
      </c>
    </row>
    <row r="24" spans="1:21">
      <c r="A24">
        <v>1024</v>
      </c>
      <c r="B24" t="s">
        <v>43</v>
      </c>
      <c r="C24" t="s">
        <v>71</v>
      </c>
      <c r="D24">
        <v>22</v>
      </c>
      <c r="E24" t="s">
        <v>73</v>
      </c>
      <c r="F24" t="s">
        <v>79</v>
      </c>
      <c r="G24" t="s">
        <v>90</v>
      </c>
      <c r="H24" t="s">
        <v>99</v>
      </c>
      <c r="I24" t="s">
        <v>103</v>
      </c>
      <c r="J24">
        <v>25.594100000000001</v>
      </c>
      <c r="K24">
        <v>85.137600000000006</v>
      </c>
      <c r="L24">
        <v>2024</v>
      </c>
      <c r="M24" s="1">
        <v>45396</v>
      </c>
      <c r="N24" t="s">
        <v>104</v>
      </c>
      <c r="O24">
        <v>65000</v>
      </c>
      <c r="P24">
        <v>93.6</v>
      </c>
      <c r="Q24" t="s">
        <v>108</v>
      </c>
      <c r="R24">
        <v>0</v>
      </c>
      <c r="S24" t="s">
        <v>109</v>
      </c>
      <c r="T24">
        <v>720000</v>
      </c>
      <c r="U24">
        <v>3.1</v>
      </c>
    </row>
    <row r="25" spans="1:21">
      <c r="A25">
        <v>1025</v>
      </c>
      <c r="B25" t="s">
        <v>44</v>
      </c>
      <c r="C25" t="s">
        <v>72</v>
      </c>
      <c r="D25">
        <v>18</v>
      </c>
      <c r="E25" t="s">
        <v>78</v>
      </c>
      <c r="F25" t="s">
        <v>83</v>
      </c>
      <c r="G25" t="s">
        <v>84</v>
      </c>
      <c r="H25" t="s">
        <v>96</v>
      </c>
      <c r="I25" t="s">
        <v>103</v>
      </c>
      <c r="J25">
        <v>30.0869</v>
      </c>
      <c r="K25">
        <v>78.267600000000002</v>
      </c>
      <c r="L25">
        <v>2024</v>
      </c>
      <c r="M25" s="1">
        <v>45374</v>
      </c>
      <c r="N25" t="s">
        <v>104</v>
      </c>
      <c r="O25">
        <v>60000</v>
      </c>
      <c r="P25">
        <v>82.4</v>
      </c>
      <c r="Q25" t="s">
        <v>107</v>
      </c>
      <c r="R25">
        <v>5000</v>
      </c>
      <c r="S25" t="s">
        <v>109</v>
      </c>
      <c r="T25">
        <v>600000</v>
      </c>
      <c r="U25">
        <v>4.8</v>
      </c>
    </row>
    <row r="26" spans="1:21">
      <c r="A26">
        <v>1026</v>
      </c>
      <c r="B26" t="s">
        <v>45</v>
      </c>
      <c r="C26" t="s">
        <v>71</v>
      </c>
      <c r="D26">
        <v>22</v>
      </c>
      <c r="E26" t="s">
        <v>77</v>
      </c>
      <c r="F26" t="s">
        <v>82</v>
      </c>
      <c r="G26" t="s">
        <v>84</v>
      </c>
      <c r="H26" t="s">
        <v>96</v>
      </c>
      <c r="I26" t="s">
        <v>103</v>
      </c>
      <c r="J26">
        <v>30.0869</v>
      </c>
      <c r="K26">
        <v>78.267600000000002</v>
      </c>
      <c r="L26">
        <v>2025</v>
      </c>
      <c r="M26" s="1">
        <v>45723</v>
      </c>
      <c r="N26" t="s">
        <v>104</v>
      </c>
      <c r="O26">
        <v>85000</v>
      </c>
      <c r="P26">
        <v>75.5</v>
      </c>
      <c r="Q26" t="s">
        <v>107</v>
      </c>
      <c r="R26">
        <v>15000</v>
      </c>
      <c r="S26" t="s">
        <v>109</v>
      </c>
      <c r="T26">
        <v>300000</v>
      </c>
      <c r="U26">
        <v>4.3</v>
      </c>
    </row>
    <row r="27" spans="1:21">
      <c r="A27">
        <v>1027</v>
      </c>
      <c r="B27" t="s">
        <v>46</v>
      </c>
      <c r="C27" t="s">
        <v>71</v>
      </c>
      <c r="D27">
        <v>22</v>
      </c>
      <c r="E27" t="s">
        <v>76</v>
      </c>
      <c r="F27" t="s">
        <v>81</v>
      </c>
      <c r="G27" t="s">
        <v>84</v>
      </c>
      <c r="H27" t="s">
        <v>96</v>
      </c>
      <c r="I27" t="s">
        <v>103</v>
      </c>
      <c r="J27">
        <v>30.0869</v>
      </c>
      <c r="K27">
        <v>78.267600000000002</v>
      </c>
      <c r="L27">
        <v>2023</v>
      </c>
      <c r="M27" s="1">
        <v>45010</v>
      </c>
      <c r="N27" t="s">
        <v>106</v>
      </c>
      <c r="O27">
        <v>60000</v>
      </c>
      <c r="P27">
        <v>92</v>
      </c>
      <c r="Q27" t="s">
        <v>107</v>
      </c>
      <c r="R27">
        <v>10000</v>
      </c>
      <c r="S27" t="s">
        <v>112</v>
      </c>
      <c r="T27">
        <v>0</v>
      </c>
      <c r="U27">
        <v>3.7</v>
      </c>
    </row>
    <row r="28" spans="1:21">
      <c r="A28">
        <v>1028</v>
      </c>
      <c r="B28" t="s">
        <v>47</v>
      </c>
      <c r="C28" t="s">
        <v>72</v>
      </c>
      <c r="D28">
        <v>20</v>
      </c>
      <c r="E28" t="s">
        <v>73</v>
      </c>
      <c r="F28" t="s">
        <v>79</v>
      </c>
      <c r="G28" t="s">
        <v>90</v>
      </c>
      <c r="H28" t="s">
        <v>99</v>
      </c>
      <c r="I28" t="s">
        <v>103</v>
      </c>
      <c r="J28">
        <v>25.594100000000001</v>
      </c>
      <c r="K28">
        <v>85.137600000000006</v>
      </c>
      <c r="L28">
        <v>2022</v>
      </c>
      <c r="M28" s="1">
        <v>44757</v>
      </c>
      <c r="N28" t="s">
        <v>105</v>
      </c>
      <c r="O28">
        <v>50000</v>
      </c>
      <c r="P28">
        <v>93.8</v>
      </c>
      <c r="Q28" t="s">
        <v>107</v>
      </c>
      <c r="R28">
        <v>20000</v>
      </c>
      <c r="S28" t="s">
        <v>109</v>
      </c>
      <c r="T28">
        <v>720000</v>
      </c>
      <c r="U28">
        <v>4.5999999999999996</v>
      </c>
    </row>
    <row r="29" spans="1:21">
      <c r="A29">
        <v>1029</v>
      </c>
      <c r="B29" t="s">
        <v>48</v>
      </c>
      <c r="C29" t="s">
        <v>72</v>
      </c>
      <c r="D29">
        <v>23</v>
      </c>
      <c r="E29" t="s">
        <v>73</v>
      </c>
      <c r="F29" t="s">
        <v>79</v>
      </c>
      <c r="G29" t="s">
        <v>95</v>
      </c>
      <c r="H29" t="s">
        <v>102</v>
      </c>
      <c r="I29" t="s">
        <v>103</v>
      </c>
      <c r="J29">
        <v>26.912400000000002</v>
      </c>
      <c r="K29">
        <v>75.787300000000002</v>
      </c>
      <c r="L29">
        <v>2024</v>
      </c>
      <c r="M29" s="1">
        <v>45434</v>
      </c>
      <c r="N29" t="s">
        <v>105</v>
      </c>
      <c r="O29">
        <v>55000</v>
      </c>
      <c r="P29">
        <v>97.8</v>
      </c>
      <c r="Q29" t="s">
        <v>108</v>
      </c>
      <c r="R29">
        <v>0</v>
      </c>
      <c r="S29" t="s">
        <v>110</v>
      </c>
      <c r="T29">
        <v>0</v>
      </c>
      <c r="U29">
        <v>3.8</v>
      </c>
    </row>
    <row r="30" spans="1:21">
      <c r="A30">
        <v>1030</v>
      </c>
      <c r="B30" t="s">
        <v>49</v>
      </c>
      <c r="C30" t="s">
        <v>72</v>
      </c>
      <c r="D30">
        <v>18</v>
      </c>
      <c r="E30" t="s">
        <v>78</v>
      </c>
      <c r="F30" t="s">
        <v>83</v>
      </c>
      <c r="G30" t="s">
        <v>84</v>
      </c>
      <c r="H30" t="s">
        <v>96</v>
      </c>
      <c r="I30" t="s">
        <v>103</v>
      </c>
      <c r="J30">
        <v>30.0869</v>
      </c>
      <c r="K30">
        <v>78.267600000000002</v>
      </c>
      <c r="L30">
        <v>2026</v>
      </c>
      <c r="M30" s="1">
        <v>46158</v>
      </c>
      <c r="N30" t="s">
        <v>104</v>
      </c>
      <c r="O30">
        <v>55000</v>
      </c>
      <c r="P30">
        <v>84.1</v>
      </c>
      <c r="Q30" t="s">
        <v>108</v>
      </c>
      <c r="R30">
        <v>0</v>
      </c>
      <c r="S30" t="s">
        <v>110</v>
      </c>
      <c r="T30">
        <v>0</v>
      </c>
      <c r="U30">
        <v>5</v>
      </c>
    </row>
    <row r="31" spans="1:21">
      <c r="A31">
        <v>1031</v>
      </c>
      <c r="B31" t="s">
        <v>50</v>
      </c>
      <c r="C31" t="s">
        <v>72</v>
      </c>
      <c r="D31">
        <v>20</v>
      </c>
      <c r="E31" t="s">
        <v>75</v>
      </c>
      <c r="F31" t="s">
        <v>81</v>
      </c>
      <c r="G31" t="s">
        <v>90</v>
      </c>
      <c r="H31" t="s">
        <v>99</v>
      </c>
      <c r="I31" t="s">
        <v>103</v>
      </c>
      <c r="J31">
        <v>25.594100000000001</v>
      </c>
      <c r="K31">
        <v>85.137600000000006</v>
      </c>
      <c r="L31">
        <v>2025</v>
      </c>
      <c r="M31" s="1">
        <v>45658</v>
      </c>
      <c r="N31" t="s">
        <v>104</v>
      </c>
      <c r="O31">
        <v>75000</v>
      </c>
      <c r="P31">
        <v>91.8</v>
      </c>
      <c r="Q31" t="s">
        <v>107</v>
      </c>
      <c r="R31">
        <v>15000</v>
      </c>
      <c r="S31" t="s">
        <v>110</v>
      </c>
      <c r="T31">
        <v>0</v>
      </c>
      <c r="U31">
        <v>4.9000000000000004</v>
      </c>
    </row>
    <row r="32" spans="1:21">
      <c r="A32">
        <v>1032</v>
      </c>
      <c r="B32" t="s">
        <v>51</v>
      </c>
      <c r="C32" t="s">
        <v>71</v>
      </c>
      <c r="D32">
        <v>23</v>
      </c>
      <c r="E32" t="s">
        <v>75</v>
      </c>
      <c r="F32" t="s">
        <v>81</v>
      </c>
      <c r="G32" t="s">
        <v>90</v>
      </c>
      <c r="H32" t="s">
        <v>99</v>
      </c>
      <c r="I32" t="s">
        <v>103</v>
      </c>
      <c r="J32">
        <v>25.594100000000001</v>
      </c>
      <c r="K32">
        <v>85.137600000000006</v>
      </c>
      <c r="L32">
        <v>2024</v>
      </c>
      <c r="M32" s="1">
        <v>45551</v>
      </c>
      <c r="N32" t="s">
        <v>104</v>
      </c>
      <c r="O32">
        <v>60000</v>
      </c>
      <c r="P32">
        <v>77.099999999999994</v>
      </c>
      <c r="Q32" t="s">
        <v>108</v>
      </c>
      <c r="R32">
        <v>0</v>
      </c>
      <c r="S32" t="s">
        <v>110</v>
      </c>
      <c r="T32">
        <v>0</v>
      </c>
      <c r="U32">
        <v>3.4</v>
      </c>
    </row>
    <row r="33" spans="1:21">
      <c r="A33">
        <v>1033</v>
      </c>
      <c r="B33" t="s">
        <v>52</v>
      </c>
      <c r="C33" t="s">
        <v>72</v>
      </c>
      <c r="D33">
        <v>22</v>
      </c>
      <c r="E33" t="s">
        <v>77</v>
      </c>
      <c r="F33" t="s">
        <v>82</v>
      </c>
      <c r="G33" t="s">
        <v>88</v>
      </c>
      <c r="H33" t="s">
        <v>88</v>
      </c>
      <c r="I33" t="s">
        <v>103</v>
      </c>
      <c r="J33">
        <v>30.7333</v>
      </c>
      <c r="K33">
        <v>76.779399999999995</v>
      </c>
      <c r="L33">
        <v>2025</v>
      </c>
      <c r="M33" s="1">
        <v>45938</v>
      </c>
      <c r="N33" t="s">
        <v>105</v>
      </c>
      <c r="O33">
        <v>50000</v>
      </c>
      <c r="P33">
        <v>73.2</v>
      </c>
      <c r="Q33" t="s">
        <v>108</v>
      </c>
      <c r="R33">
        <v>0</v>
      </c>
      <c r="S33" t="s">
        <v>112</v>
      </c>
      <c r="T33">
        <v>0</v>
      </c>
      <c r="U33">
        <v>4.2</v>
      </c>
    </row>
    <row r="34" spans="1:21">
      <c r="A34">
        <v>1034</v>
      </c>
      <c r="B34" t="s">
        <v>53</v>
      </c>
      <c r="C34" t="s">
        <v>71</v>
      </c>
      <c r="D34">
        <v>21</v>
      </c>
      <c r="E34" t="s">
        <v>76</v>
      </c>
      <c r="F34" t="s">
        <v>81</v>
      </c>
      <c r="G34" t="s">
        <v>89</v>
      </c>
      <c r="H34" t="s">
        <v>89</v>
      </c>
      <c r="I34" t="s">
        <v>103</v>
      </c>
      <c r="J34">
        <v>28.613900000000001</v>
      </c>
      <c r="K34">
        <v>77.209000000000003</v>
      </c>
      <c r="L34">
        <v>2026</v>
      </c>
      <c r="M34" s="1">
        <v>46265</v>
      </c>
      <c r="N34" t="s">
        <v>105</v>
      </c>
      <c r="O34">
        <v>75000</v>
      </c>
      <c r="P34">
        <v>97.5</v>
      </c>
      <c r="Q34" t="s">
        <v>107</v>
      </c>
      <c r="R34">
        <v>5000</v>
      </c>
      <c r="S34" t="s">
        <v>109</v>
      </c>
      <c r="T34">
        <v>600000</v>
      </c>
      <c r="U34">
        <v>4.3</v>
      </c>
    </row>
    <row r="35" spans="1:21">
      <c r="A35">
        <v>1035</v>
      </c>
      <c r="B35" t="s">
        <v>54</v>
      </c>
      <c r="C35" t="s">
        <v>72</v>
      </c>
      <c r="D35">
        <v>23</v>
      </c>
      <c r="E35" t="s">
        <v>78</v>
      </c>
      <c r="F35" t="s">
        <v>83</v>
      </c>
      <c r="G35" t="s">
        <v>89</v>
      </c>
      <c r="H35" t="s">
        <v>89</v>
      </c>
      <c r="I35" t="s">
        <v>103</v>
      </c>
      <c r="J35">
        <v>28.613900000000001</v>
      </c>
      <c r="K35">
        <v>77.209000000000003</v>
      </c>
      <c r="L35">
        <v>2023</v>
      </c>
      <c r="M35" s="1">
        <v>45002</v>
      </c>
      <c r="N35" t="s">
        <v>104</v>
      </c>
      <c r="O35">
        <v>60000</v>
      </c>
      <c r="P35">
        <v>71.099999999999994</v>
      </c>
      <c r="Q35" t="s">
        <v>107</v>
      </c>
      <c r="R35">
        <v>20000</v>
      </c>
      <c r="S35" t="s">
        <v>110</v>
      </c>
      <c r="T35">
        <v>0</v>
      </c>
      <c r="U35">
        <v>4.3</v>
      </c>
    </row>
    <row r="36" spans="1:21">
      <c r="A36">
        <v>1036</v>
      </c>
      <c r="B36" t="s">
        <v>55</v>
      </c>
      <c r="C36" t="s">
        <v>71</v>
      </c>
      <c r="D36">
        <v>19</v>
      </c>
      <c r="E36" t="s">
        <v>73</v>
      </c>
      <c r="F36" t="s">
        <v>79</v>
      </c>
      <c r="G36" t="s">
        <v>92</v>
      </c>
      <c r="H36" t="s">
        <v>100</v>
      </c>
      <c r="I36" t="s">
        <v>103</v>
      </c>
      <c r="J36">
        <v>18.520399999999999</v>
      </c>
      <c r="K36">
        <v>73.856700000000004</v>
      </c>
      <c r="L36">
        <v>2022</v>
      </c>
      <c r="M36" s="1">
        <v>44616</v>
      </c>
      <c r="N36" t="s">
        <v>105</v>
      </c>
      <c r="O36">
        <v>85000</v>
      </c>
      <c r="P36">
        <v>70.099999999999994</v>
      </c>
      <c r="Q36" t="s">
        <v>108</v>
      </c>
      <c r="R36">
        <v>0</v>
      </c>
      <c r="S36" t="s">
        <v>109</v>
      </c>
      <c r="T36">
        <v>300000</v>
      </c>
      <c r="U36">
        <v>4.8</v>
      </c>
    </row>
    <row r="37" spans="1:21">
      <c r="A37">
        <v>1037</v>
      </c>
      <c r="B37" t="s">
        <v>56</v>
      </c>
      <c r="C37" t="s">
        <v>72</v>
      </c>
      <c r="D37">
        <v>24</v>
      </c>
      <c r="E37" t="s">
        <v>74</v>
      </c>
      <c r="F37" t="s">
        <v>80</v>
      </c>
      <c r="G37" t="s">
        <v>92</v>
      </c>
      <c r="H37" t="s">
        <v>100</v>
      </c>
      <c r="I37" t="s">
        <v>103</v>
      </c>
      <c r="J37">
        <v>18.520399999999999</v>
      </c>
      <c r="K37">
        <v>73.856700000000004</v>
      </c>
      <c r="L37">
        <v>2026</v>
      </c>
      <c r="M37" s="1">
        <v>46309</v>
      </c>
      <c r="N37" t="s">
        <v>104</v>
      </c>
      <c r="O37">
        <v>60000</v>
      </c>
      <c r="P37">
        <v>97.2</v>
      </c>
      <c r="Q37" t="s">
        <v>108</v>
      </c>
      <c r="R37">
        <v>0</v>
      </c>
      <c r="S37" t="s">
        <v>112</v>
      </c>
      <c r="T37">
        <v>0</v>
      </c>
      <c r="U37">
        <v>4.0999999999999996</v>
      </c>
    </row>
    <row r="38" spans="1:21">
      <c r="A38">
        <v>1038</v>
      </c>
      <c r="B38" t="s">
        <v>57</v>
      </c>
      <c r="C38" t="s">
        <v>71</v>
      </c>
      <c r="D38">
        <v>21</v>
      </c>
      <c r="E38" t="s">
        <v>78</v>
      </c>
      <c r="F38" t="s">
        <v>83</v>
      </c>
      <c r="G38" t="s">
        <v>89</v>
      </c>
      <c r="H38" t="s">
        <v>89</v>
      </c>
      <c r="I38" t="s">
        <v>103</v>
      </c>
      <c r="J38">
        <v>28.613900000000001</v>
      </c>
      <c r="K38">
        <v>77.209000000000003</v>
      </c>
      <c r="L38">
        <v>2024</v>
      </c>
      <c r="M38" s="1">
        <v>45558</v>
      </c>
      <c r="N38" t="s">
        <v>104</v>
      </c>
      <c r="O38">
        <v>60000</v>
      </c>
      <c r="P38">
        <v>70.900000000000006</v>
      </c>
      <c r="Q38" t="s">
        <v>107</v>
      </c>
      <c r="R38">
        <v>15000</v>
      </c>
      <c r="S38" t="s">
        <v>109</v>
      </c>
      <c r="T38">
        <v>360000</v>
      </c>
      <c r="U38">
        <v>3.6</v>
      </c>
    </row>
    <row r="39" spans="1:21">
      <c r="A39">
        <v>1039</v>
      </c>
      <c r="B39" t="s">
        <v>58</v>
      </c>
      <c r="C39" t="s">
        <v>72</v>
      </c>
      <c r="D39">
        <v>19</v>
      </c>
      <c r="E39" t="s">
        <v>73</v>
      </c>
      <c r="F39" t="s">
        <v>79</v>
      </c>
      <c r="G39" t="s">
        <v>95</v>
      </c>
      <c r="H39" t="s">
        <v>102</v>
      </c>
      <c r="I39" t="s">
        <v>103</v>
      </c>
      <c r="J39">
        <v>26.912400000000002</v>
      </c>
      <c r="K39">
        <v>75.787300000000002</v>
      </c>
      <c r="L39">
        <v>2023</v>
      </c>
      <c r="M39" s="1">
        <v>45036</v>
      </c>
      <c r="N39" t="s">
        <v>104</v>
      </c>
      <c r="O39">
        <v>65000</v>
      </c>
      <c r="P39">
        <v>77.099999999999994</v>
      </c>
      <c r="Q39" t="s">
        <v>108</v>
      </c>
      <c r="R39">
        <v>0</v>
      </c>
      <c r="S39" t="s">
        <v>110</v>
      </c>
      <c r="T39">
        <v>0</v>
      </c>
      <c r="U39">
        <v>3.4</v>
      </c>
    </row>
    <row r="40" spans="1:21">
      <c r="A40">
        <v>1040</v>
      </c>
      <c r="B40" t="s">
        <v>59</v>
      </c>
      <c r="C40" t="s">
        <v>72</v>
      </c>
      <c r="D40">
        <v>24</v>
      </c>
      <c r="E40" t="s">
        <v>77</v>
      </c>
      <c r="F40" t="s">
        <v>82</v>
      </c>
      <c r="G40" t="s">
        <v>95</v>
      </c>
      <c r="H40" t="s">
        <v>102</v>
      </c>
      <c r="I40" t="s">
        <v>103</v>
      </c>
      <c r="J40">
        <v>26.912400000000002</v>
      </c>
      <c r="K40">
        <v>75.787300000000002</v>
      </c>
      <c r="L40">
        <v>2025</v>
      </c>
      <c r="M40" s="1">
        <v>45661</v>
      </c>
      <c r="N40" t="s">
        <v>105</v>
      </c>
      <c r="O40">
        <v>60000</v>
      </c>
      <c r="P40">
        <v>73</v>
      </c>
      <c r="Q40" t="s">
        <v>108</v>
      </c>
      <c r="R40">
        <v>0</v>
      </c>
      <c r="S40" t="s">
        <v>110</v>
      </c>
      <c r="T40">
        <v>0</v>
      </c>
      <c r="U40">
        <v>4.5</v>
      </c>
    </row>
    <row r="41" spans="1:21">
      <c r="A41">
        <v>1041</v>
      </c>
      <c r="B41" t="s">
        <v>60</v>
      </c>
      <c r="C41" t="s">
        <v>71</v>
      </c>
      <c r="D41">
        <v>19</v>
      </c>
      <c r="E41" t="s">
        <v>78</v>
      </c>
      <c r="F41" t="s">
        <v>83</v>
      </c>
      <c r="G41" t="s">
        <v>95</v>
      </c>
      <c r="H41" t="s">
        <v>102</v>
      </c>
      <c r="I41" t="s">
        <v>103</v>
      </c>
      <c r="J41">
        <v>26.912400000000002</v>
      </c>
      <c r="K41">
        <v>75.787300000000002</v>
      </c>
      <c r="L41">
        <v>2025</v>
      </c>
      <c r="M41" s="1">
        <v>45672</v>
      </c>
      <c r="N41" t="s">
        <v>104</v>
      </c>
      <c r="O41">
        <v>85000</v>
      </c>
      <c r="P41">
        <v>86.7</v>
      </c>
      <c r="Q41" t="s">
        <v>108</v>
      </c>
      <c r="R41">
        <v>0</v>
      </c>
      <c r="S41" t="s">
        <v>112</v>
      </c>
      <c r="T41">
        <v>0</v>
      </c>
      <c r="U41">
        <v>4.7</v>
      </c>
    </row>
    <row r="42" spans="1:21">
      <c r="A42">
        <v>1042</v>
      </c>
      <c r="B42" t="s">
        <v>61</v>
      </c>
      <c r="C42" t="s">
        <v>72</v>
      </c>
      <c r="D42">
        <v>21</v>
      </c>
      <c r="E42" t="s">
        <v>77</v>
      </c>
      <c r="F42" t="s">
        <v>82</v>
      </c>
      <c r="G42" t="s">
        <v>85</v>
      </c>
      <c r="H42" t="s">
        <v>97</v>
      </c>
      <c r="I42" t="s">
        <v>103</v>
      </c>
      <c r="J42">
        <v>22.572600000000001</v>
      </c>
      <c r="K42">
        <v>88.363900000000001</v>
      </c>
      <c r="L42">
        <v>2022</v>
      </c>
      <c r="M42" s="1">
        <v>44604</v>
      </c>
      <c r="N42" t="s">
        <v>104</v>
      </c>
      <c r="O42">
        <v>60000</v>
      </c>
      <c r="P42">
        <v>67</v>
      </c>
      <c r="Q42" t="s">
        <v>107</v>
      </c>
      <c r="R42">
        <v>5000</v>
      </c>
      <c r="S42" t="s">
        <v>109</v>
      </c>
      <c r="T42">
        <v>360000</v>
      </c>
      <c r="U42">
        <v>3.4</v>
      </c>
    </row>
    <row r="43" spans="1:21">
      <c r="A43">
        <v>1043</v>
      </c>
      <c r="B43" t="s">
        <v>62</v>
      </c>
      <c r="C43" t="s">
        <v>71</v>
      </c>
      <c r="D43">
        <v>20</v>
      </c>
      <c r="E43" t="s">
        <v>74</v>
      </c>
      <c r="F43" t="s">
        <v>80</v>
      </c>
      <c r="G43" t="s">
        <v>88</v>
      </c>
      <c r="H43" t="s">
        <v>88</v>
      </c>
      <c r="I43" t="s">
        <v>103</v>
      </c>
      <c r="J43">
        <v>30.7333</v>
      </c>
      <c r="K43">
        <v>76.779399999999995</v>
      </c>
      <c r="L43">
        <v>2022</v>
      </c>
      <c r="M43" s="1">
        <v>44802</v>
      </c>
      <c r="N43" t="s">
        <v>104</v>
      </c>
      <c r="O43">
        <v>55000</v>
      </c>
      <c r="P43">
        <v>82</v>
      </c>
      <c r="Q43" t="s">
        <v>107</v>
      </c>
      <c r="R43">
        <v>5000</v>
      </c>
      <c r="S43" t="s">
        <v>112</v>
      </c>
      <c r="T43">
        <v>0</v>
      </c>
      <c r="U43">
        <v>4.3</v>
      </c>
    </row>
    <row r="44" spans="1:21">
      <c r="A44">
        <v>1044</v>
      </c>
      <c r="B44" t="s">
        <v>63</v>
      </c>
      <c r="C44" t="s">
        <v>72</v>
      </c>
      <c r="D44">
        <v>24</v>
      </c>
      <c r="E44" t="s">
        <v>75</v>
      </c>
      <c r="F44" t="s">
        <v>81</v>
      </c>
      <c r="G44" t="s">
        <v>85</v>
      </c>
      <c r="H44" t="s">
        <v>97</v>
      </c>
      <c r="I44" t="s">
        <v>103</v>
      </c>
      <c r="J44">
        <v>22.572600000000001</v>
      </c>
      <c r="K44">
        <v>88.363900000000001</v>
      </c>
      <c r="L44">
        <v>2023</v>
      </c>
      <c r="M44" s="1">
        <v>45049</v>
      </c>
      <c r="N44" t="s">
        <v>104</v>
      </c>
      <c r="O44">
        <v>65000</v>
      </c>
      <c r="P44">
        <v>86.8</v>
      </c>
      <c r="Q44" t="s">
        <v>107</v>
      </c>
      <c r="R44">
        <v>20000</v>
      </c>
      <c r="S44" t="s">
        <v>110</v>
      </c>
      <c r="T44">
        <v>0</v>
      </c>
      <c r="U44">
        <v>4.5</v>
      </c>
    </row>
    <row r="45" spans="1:21">
      <c r="A45">
        <v>1045</v>
      </c>
      <c r="B45" t="s">
        <v>64</v>
      </c>
      <c r="C45" t="s">
        <v>72</v>
      </c>
      <c r="D45">
        <v>24</v>
      </c>
      <c r="E45" t="s">
        <v>73</v>
      </c>
      <c r="F45" t="s">
        <v>79</v>
      </c>
      <c r="G45" t="s">
        <v>88</v>
      </c>
      <c r="H45" t="s">
        <v>88</v>
      </c>
      <c r="I45" t="s">
        <v>103</v>
      </c>
      <c r="J45">
        <v>30.7333</v>
      </c>
      <c r="K45">
        <v>76.779399999999995</v>
      </c>
      <c r="L45">
        <v>2022</v>
      </c>
      <c r="M45" s="1">
        <v>44858</v>
      </c>
      <c r="N45" t="s">
        <v>104</v>
      </c>
      <c r="O45">
        <v>75000</v>
      </c>
      <c r="P45">
        <v>73.5</v>
      </c>
      <c r="Q45" t="s">
        <v>108</v>
      </c>
      <c r="R45">
        <v>0</v>
      </c>
      <c r="S45" t="s">
        <v>110</v>
      </c>
      <c r="T45">
        <v>0</v>
      </c>
      <c r="U45">
        <v>4.4000000000000004</v>
      </c>
    </row>
    <row r="46" spans="1:21">
      <c r="A46">
        <v>1046</v>
      </c>
      <c r="B46" t="s">
        <v>65</v>
      </c>
      <c r="C46" t="s">
        <v>72</v>
      </c>
      <c r="D46">
        <v>18</v>
      </c>
      <c r="E46" t="s">
        <v>76</v>
      </c>
      <c r="F46" t="s">
        <v>81</v>
      </c>
      <c r="G46" t="s">
        <v>88</v>
      </c>
      <c r="H46" t="s">
        <v>88</v>
      </c>
      <c r="I46" t="s">
        <v>103</v>
      </c>
      <c r="J46">
        <v>30.7333</v>
      </c>
      <c r="K46">
        <v>76.779399999999995</v>
      </c>
      <c r="L46">
        <v>2026</v>
      </c>
      <c r="M46" s="1">
        <v>46084</v>
      </c>
      <c r="N46" t="s">
        <v>105</v>
      </c>
      <c r="O46">
        <v>45000</v>
      </c>
      <c r="P46">
        <v>82.9</v>
      </c>
      <c r="Q46" t="s">
        <v>108</v>
      </c>
      <c r="R46">
        <v>0</v>
      </c>
      <c r="S46" t="s">
        <v>110</v>
      </c>
      <c r="T46">
        <v>0</v>
      </c>
      <c r="U46">
        <v>4.3</v>
      </c>
    </row>
    <row r="47" spans="1:21">
      <c r="A47">
        <v>1047</v>
      </c>
      <c r="B47" t="s">
        <v>66</v>
      </c>
      <c r="C47" t="s">
        <v>71</v>
      </c>
      <c r="D47">
        <v>24</v>
      </c>
      <c r="E47" t="s">
        <v>74</v>
      </c>
      <c r="F47" t="s">
        <v>80</v>
      </c>
      <c r="G47" t="s">
        <v>91</v>
      </c>
      <c r="H47" t="s">
        <v>96</v>
      </c>
      <c r="I47" t="s">
        <v>103</v>
      </c>
      <c r="J47">
        <v>30.316500000000001</v>
      </c>
      <c r="K47">
        <v>78.032200000000003</v>
      </c>
      <c r="L47">
        <v>2025</v>
      </c>
      <c r="M47" s="1">
        <v>45843</v>
      </c>
      <c r="N47" t="s">
        <v>104</v>
      </c>
      <c r="O47">
        <v>75000</v>
      </c>
      <c r="P47">
        <v>92.7</v>
      </c>
      <c r="Q47" t="s">
        <v>107</v>
      </c>
      <c r="R47">
        <v>20000</v>
      </c>
      <c r="S47" t="s">
        <v>109</v>
      </c>
      <c r="T47">
        <v>480000</v>
      </c>
      <c r="U47">
        <v>4.9000000000000004</v>
      </c>
    </row>
    <row r="48" spans="1:21">
      <c r="A48">
        <v>1048</v>
      </c>
      <c r="B48" t="s">
        <v>67</v>
      </c>
      <c r="C48" t="s">
        <v>71</v>
      </c>
      <c r="D48">
        <v>21</v>
      </c>
      <c r="E48" t="s">
        <v>74</v>
      </c>
      <c r="F48" t="s">
        <v>80</v>
      </c>
      <c r="G48" t="s">
        <v>90</v>
      </c>
      <c r="H48" t="s">
        <v>99</v>
      </c>
      <c r="I48" t="s">
        <v>103</v>
      </c>
      <c r="J48">
        <v>25.594100000000001</v>
      </c>
      <c r="K48">
        <v>85.137600000000006</v>
      </c>
      <c r="L48">
        <v>2026</v>
      </c>
      <c r="M48" s="1">
        <v>46160</v>
      </c>
      <c r="N48" t="s">
        <v>104</v>
      </c>
      <c r="O48">
        <v>45000</v>
      </c>
      <c r="P48">
        <v>71.099999999999994</v>
      </c>
      <c r="Q48" t="s">
        <v>108</v>
      </c>
      <c r="R48">
        <v>0</v>
      </c>
      <c r="S48" t="s">
        <v>111</v>
      </c>
      <c r="T48">
        <v>0</v>
      </c>
      <c r="U48">
        <v>3.5</v>
      </c>
    </row>
    <row r="49" spans="1:21">
      <c r="A49">
        <v>1049</v>
      </c>
      <c r="B49" t="s">
        <v>68</v>
      </c>
      <c r="C49" t="s">
        <v>71</v>
      </c>
      <c r="D49">
        <v>20</v>
      </c>
      <c r="E49" t="s">
        <v>75</v>
      </c>
      <c r="F49" t="s">
        <v>81</v>
      </c>
      <c r="G49" t="s">
        <v>93</v>
      </c>
      <c r="H49" t="s">
        <v>100</v>
      </c>
      <c r="I49" t="s">
        <v>103</v>
      </c>
      <c r="J49">
        <v>19.076000000000001</v>
      </c>
      <c r="K49">
        <v>72.877700000000004</v>
      </c>
      <c r="L49">
        <v>2024</v>
      </c>
      <c r="M49" s="1">
        <v>45385</v>
      </c>
      <c r="N49" t="s">
        <v>104</v>
      </c>
      <c r="O49">
        <v>55000</v>
      </c>
      <c r="P49">
        <v>75.099999999999994</v>
      </c>
      <c r="Q49" t="s">
        <v>108</v>
      </c>
      <c r="R49">
        <v>0</v>
      </c>
      <c r="S49" t="s">
        <v>109</v>
      </c>
      <c r="T49">
        <v>480000</v>
      </c>
      <c r="U49">
        <v>4.4000000000000004</v>
      </c>
    </row>
    <row r="50" spans="1:21">
      <c r="A50">
        <v>1050</v>
      </c>
      <c r="B50" t="s">
        <v>69</v>
      </c>
      <c r="C50" t="s">
        <v>72</v>
      </c>
      <c r="D50">
        <v>22</v>
      </c>
      <c r="E50" t="s">
        <v>73</v>
      </c>
      <c r="F50" t="s">
        <v>79</v>
      </c>
      <c r="G50" t="s">
        <v>91</v>
      </c>
      <c r="H50" t="s">
        <v>96</v>
      </c>
      <c r="I50" t="s">
        <v>103</v>
      </c>
      <c r="J50">
        <v>30.316500000000001</v>
      </c>
      <c r="K50">
        <v>78.032200000000003</v>
      </c>
      <c r="L50">
        <v>2023</v>
      </c>
      <c r="M50" s="1">
        <v>45135</v>
      </c>
      <c r="N50" t="s">
        <v>104</v>
      </c>
      <c r="O50">
        <v>75000</v>
      </c>
      <c r="P50">
        <v>90.1</v>
      </c>
      <c r="Q50" t="s">
        <v>108</v>
      </c>
      <c r="R50">
        <v>0</v>
      </c>
      <c r="S50" t="s">
        <v>110</v>
      </c>
      <c r="T50">
        <v>0</v>
      </c>
      <c r="U50">
        <v>4</v>
      </c>
    </row>
    <row r="51" spans="1:21">
      <c r="A51">
        <v>1051</v>
      </c>
      <c r="B51" t="s">
        <v>70</v>
      </c>
      <c r="C51" t="s">
        <v>71</v>
      </c>
      <c r="D51">
        <v>19</v>
      </c>
      <c r="E51" t="s">
        <v>74</v>
      </c>
      <c r="F51" t="s">
        <v>80</v>
      </c>
      <c r="G51" t="s">
        <v>90</v>
      </c>
      <c r="H51" t="s">
        <v>99</v>
      </c>
      <c r="I51" t="s">
        <v>103</v>
      </c>
      <c r="J51">
        <v>25.594100000000001</v>
      </c>
      <c r="K51">
        <v>85.137600000000006</v>
      </c>
      <c r="L51">
        <v>2023</v>
      </c>
      <c r="M51" s="1">
        <v>45083</v>
      </c>
      <c r="N51" t="s">
        <v>104</v>
      </c>
      <c r="O51">
        <v>65000</v>
      </c>
      <c r="P51">
        <v>75.7</v>
      </c>
      <c r="Q51" t="s">
        <v>108</v>
      </c>
      <c r="R51">
        <v>0</v>
      </c>
      <c r="S51" t="s">
        <v>110</v>
      </c>
      <c r="T51">
        <v>0</v>
      </c>
      <c r="U51">
        <v>4.5</v>
      </c>
    </row>
    <row r="52" spans="1:21">
      <c r="M52" s="1"/>
    </row>
    <row r="53" spans="1:21">
      <c r="M53" s="1"/>
    </row>
    <row r="54" spans="1:21">
      <c r="M54" s="1"/>
    </row>
    <row r="55" spans="1:21">
      <c r="M55" s="1"/>
    </row>
    <row r="56" spans="1:21">
      <c r="M56" s="1"/>
    </row>
    <row r="57" spans="1:21">
      <c r="M57" s="1"/>
    </row>
    <row r="58" spans="1:21">
      <c r="M58" s="1"/>
    </row>
    <row r="59" spans="1:21">
      <c r="M59" s="1"/>
    </row>
    <row r="60" spans="1:21">
      <c r="M60" s="1"/>
    </row>
    <row r="61" spans="1:21">
      <c r="M61" s="1"/>
    </row>
    <row r="62" spans="1:21">
      <c r="M62" s="1"/>
    </row>
    <row r="63" spans="1:21">
      <c r="M63" s="1"/>
    </row>
    <row r="64" spans="1:21">
      <c r="M64" s="1"/>
    </row>
    <row r="65" spans="13:13">
      <c r="M65" s="1"/>
    </row>
    <row r="66" spans="13:13">
      <c r="M66" s="1"/>
    </row>
    <row r="67" spans="13:13">
      <c r="M67" s="1"/>
    </row>
    <row r="68" spans="13:13">
      <c r="M68" s="1"/>
    </row>
    <row r="69" spans="13:13">
      <c r="M69" s="1"/>
    </row>
    <row r="70" spans="13:13">
      <c r="M70" s="1"/>
    </row>
    <row r="71" spans="13:13">
      <c r="M71" s="1"/>
    </row>
    <row r="72" spans="13:13">
      <c r="M72" s="1"/>
    </row>
    <row r="73" spans="13:13">
      <c r="M73" s="1"/>
    </row>
    <row r="74" spans="13:13">
      <c r="M74" s="1"/>
    </row>
    <row r="75" spans="13:13">
      <c r="M75" s="1"/>
    </row>
    <row r="76" spans="13:13">
      <c r="M76" s="1"/>
    </row>
    <row r="77" spans="13:13">
      <c r="M77" s="1"/>
    </row>
    <row r="78" spans="13:13">
      <c r="M78" s="1"/>
    </row>
    <row r="79" spans="13:13">
      <c r="M79" s="1"/>
    </row>
    <row r="80" spans="13:13">
      <c r="M80" s="1"/>
    </row>
    <row r="81" spans="13:13">
      <c r="M81" s="1"/>
    </row>
    <row r="82" spans="13:13">
      <c r="M82" s="1"/>
    </row>
    <row r="83" spans="13:13">
      <c r="M83" s="1"/>
    </row>
    <row r="84" spans="13:13">
      <c r="M84" s="1"/>
    </row>
    <row r="85" spans="13:13">
      <c r="M85" s="1"/>
    </row>
    <row r="86" spans="13:13">
      <c r="M86" s="1"/>
    </row>
    <row r="87" spans="13:13">
      <c r="M87" s="1"/>
    </row>
    <row r="88" spans="13:13">
      <c r="M88" s="1"/>
    </row>
    <row r="89" spans="13:13">
      <c r="M89" s="1"/>
    </row>
    <row r="90" spans="13:13">
      <c r="M90" s="1"/>
    </row>
    <row r="91" spans="13:13">
      <c r="M91" s="1"/>
    </row>
    <row r="92" spans="13:13">
      <c r="M92" s="1"/>
    </row>
    <row r="93" spans="13:13">
      <c r="M93" s="1"/>
    </row>
    <row r="94" spans="13:13">
      <c r="M94" s="1"/>
    </row>
    <row r="95" spans="13:13">
      <c r="M95" s="1"/>
    </row>
    <row r="96" spans="13:13">
      <c r="M96" s="1"/>
    </row>
    <row r="97" spans="13:13">
      <c r="M97" s="1"/>
    </row>
    <row r="98" spans="13:13">
      <c r="M98" s="1"/>
    </row>
    <row r="99" spans="13:13">
      <c r="M99" s="1"/>
    </row>
    <row r="100" spans="13:13">
      <c r="M100" s="1"/>
    </row>
    <row r="101" spans="13:13">
      <c r="M101" s="1"/>
    </row>
    <row r="102" spans="13:13">
      <c r="M102" s="1"/>
    </row>
    <row r="103" spans="13:13">
      <c r="M103" s="1"/>
    </row>
    <row r="104" spans="13:13">
      <c r="M104" s="1"/>
    </row>
    <row r="105" spans="13:13">
      <c r="M105" s="1"/>
    </row>
    <row r="106" spans="13:13">
      <c r="M106" s="1"/>
    </row>
    <row r="107" spans="13:13">
      <c r="M107" s="1"/>
    </row>
    <row r="108" spans="13:13">
      <c r="M108" s="1"/>
    </row>
    <row r="109" spans="13:13">
      <c r="M109" s="1"/>
    </row>
    <row r="110" spans="13:13">
      <c r="M110" s="1"/>
    </row>
    <row r="111" spans="13:13">
      <c r="M111" s="1"/>
    </row>
    <row r="112" spans="13:13">
      <c r="M112" s="1"/>
    </row>
    <row r="113" spans="13:13">
      <c r="M113" s="1"/>
    </row>
    <row r="114" spans="13:13">
      <c r="M114" s="1"/>
    </row>
    <row r="115" spans="13:13">
      <c r="M115" s="1"/>
    </row>
    <row r="116" spans="13:13">
      <c r="M116" s="1"/>
    </row>
    <row r="117" spans="13:13">
      <c r="M117" s="1"/>
    </row>
    <row r="118" spans="13:13">
      <c r="M118" s="1"/>
    </row>
    <row r="119" spans="13:13">
      <c r="M119" s="1"/>
    </row>
    <row r="120" spans="13:13">
      <c r="M120" s="1"/>
    </row>
    <row r="121" spans="13:13">
      <c r="M121"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515E-39C6-4B7F-9E0D-30ACB4CF28B1}">
  <dimension ref="A3:C20"/>
  <sheetViews>
    <sheetView tabSelected="1" workbookViewId="0">
      <selection activeCell="J15" sqref="J15"/>
    </sheetView>
  </sheetViews>
  <sheetFormatPr defaultRowHeight="14.25"/>
  <cols>
    <col min="1" max="1" width="19.265625" bestFit="1" customWidth="1"/>
    <col min="2" max="2" width="6.19921875" bestFit="1" customWidth="1"/>
  </cols>
  <sheetData>
    <row r="3" spans="1:3">
      <c r="A3" s="3"/>
      <c r="B3" s="4"/>
      <c r="C3" s="5"/>
    </row>
    <row r="4" spans="1:3">
      <c r="A4" s="6"/>
      <c r="B4" s="7"/>
      <c r="C4" s="8"/>
    </row>
    <row r="5" spans="1:3">
      <c r="A5" s="6"/>
      <c r="B5" s="7"/>
      <c r="C5" s="8"/>
    </row>
    <row r="6" spans="1:3">
      <c r="A6" s="6"/>
      <c r="B6" s="7"/>
      <c r="C6" s="8"/>
    </row>
    <row r="7" spans="1:3">
      <c r="A7" s="6"/>
      <c r="B7" s="7"/>
      <c r="C7" s="8"/>
    </row>
    <row r="8" spans="1:3">
      <c r="A8" s="6"/>
      <c r="B8" s="7"/>
      <c r="C8" s="8"/>
    </row>
    <row r="9" spans="1:3">
      <c r="A9" s="6"/>
      <c r="B9" s="7"/>
      <c r="C9" s="8"/>
    </row>
    <row r="10" spans="1:3">
      <c r="A10" s="6"/>
      <c r="B10" s="7"/>
      <c r="C10" s="8"/>
    </row>
    <row r="11" spans="1:3">
      <c r="A11" s="6"/>
      <c r="B11" s="7"/>
      <c r="C11" s="8"/>
    </row>
    <row r="12" spans="1:3">
      <c r="A12" s="6"/>
      <c r="B12" s="7"/>
      <c r="C12" s="8"/>
    </row>
    <row r="13" spans="1:3">
      <c r="A13" s="6"/>
      <c r="B13" s="7"/>
      <c r="C13" s="8"/>
    </row>
    <row r="14" spans="1:3">
      <c r="A14" s="6"/>
      <c r="B14" s="7"/>
      <c r="C14" s="8"/>
    </row>
    <row r="15" spans="1:3">
      <c r="A15" s="6"/>
      <c r="B15" s="7"/>
      <c r="C15" s="8"/>
    </row>
    <row r="16" spans="1:3">
      <c r="A16" s="6"/>
      <c r="B16" s="7"/>
      <c r="C16" s="8"/>
    </row>
    <row r="17" spans="1:3">
      <c r="A17" s="6"/>
      <c r="B17" s="7"/>
      <c r="C17" s="8"/>
    </row>
    <row r="18" spans="1:3">
      <c r="A18" s="6"/>
      <c r="B18" s="7"/>
      <c r="C18" s="8"/>
    </row>
    <row r="19" spans="1:3">
      <c r="A19" s="6"/>
      <c r="B19" s="7"/>
      <c r="C19" s="8"/>
    </row>
    <row r="20" spans="1:3">
      <c r="A20" s="9"/>
      <c r="B20" s="10"/>
      <c r="C2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D555F-ADE9-4C63-A047-E70F0F5EB7DD}">
  <dimension ref="B1:C12"/>
  <sheetViews>
    <sheetView workbookViewId="0">
      <selection activeCell="B4" sqref="B4"/>
    </sheetView>
  </sheetViews>
  <sheetFormatPr defaultRowHeight="14.25"/>
  <cols>
    <col min="2" max="2" width="26.46484375" customWidth="1"/>
    <col min="3" max="3" width="9.06640625" customWidth="1"/>
  </cols>
  <sheetData>
    <row r="1" spans="2:3" ht="28.5">
      <c r="B1" s="12" t="s">
        <v>113</v>
      </c>
      <c r="C1" s="12" t="s">
        <v>114</v>
      </c>
    </row>
    <row r="2" spans="2:3">
      <c r="B2" s="13" t="s">
        <v>115</v>
      </c>
      <c r="C2" s="14">
        <f>COUNTA(tblStudents[Student_ID])</f>
        <v>50</v>
      </c>
    </row>
    <row r="3" spans="2:3">
      <c r="B3" s="13" t="s">
        <v>116</v>
      </c>
      <c r="C3" s="14">
        <f>COUNTIF(tblStudents[Enrollment_Status],"Active")</f>
        <v>37</v>
      </c>
    </row>
    <row r="4" spans="2:3">
      <c r="B4" s="13" t="s">
        <v>117</v>
      </c>
      <c r="C4" s="14">
        <f>AVERAGE(tblStudents[Attendance_Percentage])/100</f>
        <v>0.80453999999999981</v>
      </c>
    </row>
    <row r="5" spans="2:3">
      <c r="B5" s="13" t="s">
        <v>118</v>
      </c>
      <c r="C5" s="14">
        <f>COUNTIF(tblStudents[Placement_Status],"Placed")</f>
        <v>22</v>
      </c>
    </row>
    <row r="6" spans="2:3">
      <c r="B6" s="13" t="s">
        <v>119</v>
      </c>
      <c r="C6" s="14">
        <f>SUM(tblStudents[Annual_Fees])</f>
        <v>3125000</v>
      </c>
    </row>
    <row r="7" spans="2:3">
      <c r="B7" s="13" t="s">
        <v>120</v>
      </c>
      <c r="C7" s="14">
        <f>SUM(tblStudents[Scholarship_Amount])</f>
        <v>305000</v>
      </c>
    </row>
    <row r="8" spans="2:3">
      <c r="B8" s="13" t="s">
        <v>121</v>
      </c>
      <c r="C8" s="14">
        <f>AVERAGE(tblStudents[Student_Rating])</f>
        <v>4.2540000000000013</v>
      </c>
    </row>
    <row r="9" spans="2:3">
      <c r="B9" s="13" t="s">
        <v>122</v>
      </c>
      <c r="C9" s="14">
        <f>COUNTIF(tblStudents[Enrollment_Status],"Dropped")</f>
        <v>2</v>
      </c>
    </row>
    <row r="12" spans="2:3">
      <c r="B12" s="15">
        <f>AVERAGE(tblStudents[Attendance_Percentage])/100</f>
        <v>0.80453999999999981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D901-0669-4977-BB17-A209A87ED9B8}">
  <dimension ref="A3:B10"/>
  <sheetViews>
    <sheetView workbookViewId="0">
      <selection activeCell="B21" sqref="B21"/>
    </sheetView>
  </sheetViews>
  <sheetFormatPr defaultRowHeight="14.25"/>
  <cols>
    <col min="1" max="1" width="12.06640625" bestFit="1" customWidth="1"/>
    <col min="2" max="2" width="17.46484375" bestFit="1" customWidth="1"/>
  </cols>
  <sheetData>
    <row r="3" spans="1:2">
      <c r="A3" s="16" t="s">
        <v>123</v>
      </c>
      <c r="B3" t="s">
        <v>125</v>
      </c>
    </row>
    <row r="4" spans="1:2">
      <c r="A4" s="17" t="s">
        <v>77</v>
      </c>
      <c r="B4">
        <v>7</v>
      </c>
    </row>
    <row r="5" spans="1:2">
      <c r="A5" s="17" t="s">
        <v>73</v>
      </c>
      <c r="B5">
        <v>11</v>
      </c>
    </row>
    <row r="6" spans="1:2">
      <c r="A6" s="17" t="s">
        <v>75</v>
      </c>
      <c r="B6">
        <v>12</v>
      </c>
    </row>
    <row r="7" spans="1:2">
      <c r="A7" s="17" t="s">
        <v>74</v>
      </c>
      <c r="B7">
        <v>7</v>
      </c>
    </row>
    <row r="8" spans="1:2">
      <c r="A8" s="17" t="s">
        <v>78</v>
      </c>
      <c r="B8">
        <v>5</v>
      </c>
    </row>
    <row r="9" spans="1:2">
      <c r="A9" s="17" t="s">
        <v>76</v>
      </c>
      <c r="B9">
        <v>8</v>
      </c>
    </row>
    <row r="10" spans="1:2">
      <c r="A10" s="17" t="s">
        <v>124</v>
      </c>
      <c r="B10">
        <v>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FC97-BECF-4BB2-B594-C59C9FB8B442}">
  <dimension ref="A3:B7"/>
  <sheetViews>
    <sheetView workbookViewId="0">
      <selection activeCell="B25" sqref="B25"/>
    </sheetView>
  </sheetViews>
  <sheetFormatPr defaultRowHeight="14.25"/>
  <cols>
    <col min="1" max="1" width="12.06640625" bestFit="1" customWidth="1"/>
    <col min="2" max="2" width="17.46484375" bestFit="1" customWidth="1"/>
  </cols>
  <sheetData>
    <row r="3" spans="1:2">
      <c r="A3" s="16" t="s">
        <v>123</v>
      </c>
      <c r="B3" t="s">
        <v>125</v>
      </c>
    </row>
    <row r="4" spans="1:2">
      <c r="A4" s="17" t="s">
        <v>104</v>
      </c>
      <c r="B4">
        <v>37</v>
      </c>
    </row>
    <row r="5" spans="1:2">
      <c r="A5" s="17" t="s">
        <v>105</v>
      </c>
      <c r="B5">
        <v>11</v>
      </c>
    </row>
    <row r="6" spans="1:2">
      <c r="A6" s="17" t="s">
        <v>106</v>
      </c>
      <c r="B6">
        <v>2</v>
      </c>
    </row>
    <row r="7" spans="1:2">
      <c r="A7" s="17" t="s">
        <v>124</v>
      </c>
      <c r="B7">
        <v>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7280-0E14-409B-9ECA-DA7C4BE1AEFF}">
  <dimension ref="A3:B9"/>
  <sheetViews>
    <sheetView workbookViewId="0">
      <selection activeCell="B28" sqref="B28"/>
    </sheetView>
  </sheetViews>
  <sheetFormatPr defaultRowHeight="14.25"/>
  <cols>
    <col min="1" max="1" width="12.06640625" bestFit="1" customWidth="1"/>
    <col min="2" max="2" width="17.46484375" bestFit="1" customWidth="1"/>
  </cols>
  <sheetData>
    <row r="3" spans="1:2">
      <c r="A3" s="16" t="s">
        <v>123</v>
      </c>
      <c r="B3" t="s">
        <v>125</v>
      </c>
    </row>
    <row r="4" spans="1:2">
      <c r="A4" s="17">
        <v>2022</v>
      </c>
      <c r="B4">
        <v>11</v>
      </c>
    </row>
    <row r="5" spans="1:2">
      <c r="A5" s="17">
        <v>2023</v>
      </c>
      <c r="B5">
        <v>11</v>
      </c>
    </row>
    <row r="6" spans="1:2">
      <c r="A6" s="17">
        <v>2024</v>
      </c>
      <c r="B6">
        <v>10</v>
      </c>
    </row>
    <row r="7" spans="1:2">
      <c r="A7" s="17">
        <v>2025</v>
      </c>
      <c r="B7">
        <v>9</v>
      </c>
    </row>
    <row r="8" spans="1:2">
      <c r="A8" s="17">
        <v>2026</v>
      </c>
      <c r="B8">
        <v>9</v>
      </c>
    </row>
    <row r="9" spans="1:2">
      <c r="A9" s="17" t="s">
        <v>124</v>
      </c>
      <c r="B9">
        <v>50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Sheet8</vt:lpstr>
      <vt:lpstr>Sheet9</vt:lpstr>
      <vt:lpstr>Sheet1</vt:lpstr>
      <vt:lpstr>Sheet10</vt:lpstr>
      <vt:lpstr>Sheet3</vt:lpstr>
      <vt:lpstr>Sheet4</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MIKKI JAISWAL</cp:lastModifiedBy>
  <dcterms:created xsi:type="dcterms:W3CDTF">2026-09-07T03:52:25Z</dcterms:created>
  <dcterms:modified xsi:type="dcterms:W3CDTF">2026-10-11T12:23:08Z</dcterms:modified>
</cp:coreProperties>
</file>